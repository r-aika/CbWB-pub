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411" codeName="{00000000-0000-0000-0000-000000000000}"/>
  <workbookPr codeName="ThisWorkbook"/>
  <mc:AlternateContent xmlns:mc="http://schemas.openxmlformats.org/markup-compatibility/2006">
    <mc:Choice Requires="x15">
      <x15ac:absPath xmlns:x15ac="http://schemas.microsoft.com/office/spreadsheetml/2010/11/ac" url="D:\Suzuki Documents\給与\JCD勤務表フォーマット\JCD勤務表フォーマット（ver.201225）\"/>
    </mc:Choice>
  </mc:AlternateContent>
  <xr:revisionPtr revIDLastSave="118" documentId="13_ncr:1_{13C9E01B-30A8-4D98-A73B-0712F5A27CEC}" xr6:coauthVersionLast="47" xr6:coauthVersionMax="47" xr10:uidLastSave="{78CD81F1-22A4-4627-A465-9BF99E1C2537}"/>
  <bookViews>
    <workbookView xWindow="-120" yWindow="-120" windowWidth="29040" windowHeight="15840" firstSheet="4" activeTab="4" xr2:uid="{00000000-000D-0000-FFFF-FFFF00000000}"/>
  </bookViews>
  <sheets>
    <sheet name="式の組立" sheetId="1" state="hidden" r:id="rId1"/>
    <sheet name="関数の構成" sheetId="3" state="hidden" r:id="rId2"/>
    <sheet name="更新履歴等" sheetId="967" state="hidden" r:id="rId3"/>
    <sheet name="祝日表" sheetId="16668" r:id="rId4"/>
    <sheet name="入力シート" sheetId="16" r:id="rId5"/>
    <sheet name="印刷シート" sheetId="5" r:id="rId6"/>
    <sheet name="届書" sheetId="4128" state="hidden" r:id="rId7"/>
    <sheet name="定期代等支給申請書" sheetId="16671" r:id="rId8"/>
    <sheet name="立替旅費等精算申請書" sheetId="16669" r:id="rId9"/>
    <sheet name="工数差異集計" sheetId="16672" state="hidden" r:id="rId10"/>
  </sheets>
  <definedNames>
    <definedName name="_xlnm.Print_Area" localSheetId="5">印刷シート!$A$1:$W$49</definedName>
    <definedName name="_xlnm.Print_Area" localSheetId="0">式の組立!$A$1:$AY$45</definedName>
    <definedName name="_xlnm.Print_Area" localSheetId="7">定期代等支給申請書!$A$1:$L$37</definedName>
    <definedName name="_xlnm.Print_Area" localSheetId="6">届書!$A$1:$I$71</definedName>
    <definedName name="_xlnm.Print_Area" localSheetId="8">立替旅費等精算申請書!$A$1:$H$45</definedName>
    <definedName name="_xlnm.Print_Titles" localSheetId="6">届書!$1:$4</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6" i="16" l="1"/>
  <c r="DT42" i="16" l="1"/>
  <c r="DU44" i="16" s="1"/>
  <c r="DT16" i="16"/>
  <c r="DU18" i="16" s="1"/>
  <c r="AB6" i="16" l="1"/>
  <c r="AB7" i="16"/>
  <c r="AB8" i="16"/>
  <c r="AB9" i="16"/>
  <c r="AB10" i="16"/>
  <c r="AB11" i="16"/>
  <c r="AB12" i="16"/>
  <c r="AB13" i="16"/>
  <c r="AB14" i="16"/>
  <c r="AB15" i="16"/>
  <c r="AB16" i="16"/>
  <c r="AB17" i="16"/>
  <c r="AB18" i="16"/>
  <c r="AB19" i="16"/>
  <c r="AB20" i="16"/>
  <c r="AB21" i="16"/>
  <c r="AB22" i="16"/>
  <c r="AB23" i="16"/>
  <c r="AB24" i="16"/>
  <c r="AB25" i="16"/>
  <c r="AB26" i="16"/>
  <c r="AB27" i="16"/>
  <c r="AB28" i="16"/>
  <c r="AB29" i="16"/>
  <c r="AB30" i="16"/>
  <c r="AB31" i="16"/>
  <c r="AB32" i="16"/>
  <c r="AB33" i="16"/>
  <c r="AB34" i="16"/>
  <c r="AB35" i="16"/>
  <c r="AB5" i="16"/>
  <c r="DT3" i="16"/>
  <c r="DV3" i="16"/>
  <c r="DV29" i="16"/>
  <c r="DT29" i="16"/>
  <c r="DV42" i="16"/>
  <c r="DV16" i="16"/>
  <c r="AD6" i="16" l="1"/>
  <c r="AD7" i="16"/>
  <c r="AD8" i="16"/>
  <c r="AD9" i="16"/>
  <c r="AD10" i="16"/>
  <c r="AD11" i="16"/>
  <c r="AD12" i="16"/>
  <c r="AD13" i="16"/>
  <c r="AD14" i="16"/>
  <c r="AD15" i="16"/>
  <c r="AD16" i="16"/>
  <c r="AD17" i="16"/>
  <c r="AD18" i="16"/>
  <c r="AD19" i="16"/>
  <c r="AD20" i="16"/>
  <c r="AD21" i="16"/>
  <c r="AD22" i="16"/>
  <c r="AD23" i="16"/>
  <c r="AD24" i="16"/>
  <c r="AD25" i="16"/>
  <c r="AD26" i="16"/>
  <c r="AD27" i="16"/>
  <c r="AD28" i="16"/>
  <c r="AD29" i="16"/>
  <c r="AD30" i="16"/>
  <c r="AD31" i="16"/>
  <c r="AD32" i="16"/>
  <c r="AD33" i="16"/>
  <c r="AD34" i="16"/>
  <c r="AD35" i="16"/>
  <c r="AD5" i="16"/>
  <c r="DO10" i="16"/>
  <c r="DQ10" i="16"/>
  <c r="DM10" i="16" l="1"/>
  <c r="AD36" i="16"/>
  <c r="F65" i="16" s="1"/>
  <c r="M47" i="5" s="1"/>
  <c r="G5" i="16669"/>
  <c r="H19" i="16672" l="1"/>
  <c r="AA11" i="16"/>
  <c r="R1" i="5" l="1"/>
  <c r="U1" i="5"/>
  <c r="Y1" i="5"/>
  <c r="D3" i="5"/>
  <c r="G3" i="5"/>
  <c r="N4" i="5"/>
  <c r="P4" i="5"/>
  <c r="R4" i="5"/>
  <c r="T4" i="5"/>
  <c r="V4" i="5"/>
  <c r="D5" i="5"/>
  <c r="G5" i="5"/>
  <c r="N5" i="5"/>
  <c r="P5" i="5"/>
  <c r="R5" i="5"/>
  <c r="T5" i="5"/>
  <c r="V5" i="5"/>
  <c r="K9" i="5"/>
  <c r="Q9" i="5"/>
  <c r="T9" i="5"/>
  <c r="K10" i="5"/>
  <c r="Q10" i="5"/>
  <c r="T10" i="5"/>
  <c r="K11" i="5"/>
  <c r="Q11" i="5"/>
  <c r="T11" i="5"/>
  <c r="K12" i="5"/>
  <c r="Q12" i="5"/>
  <c r="T12" i="5"/>
  <c r="K13" i="5"/>
  <c r="Q13" i="5"/>
  <c r="T13" i="5"/>
  <c r="K14" i="5"/>
  <c r="Q14" i="5"/>
  <c r="T14" i="5"/>
  <c r="K15" i="5"/>
  <c r="Q15" i="5"/>
  <c r="T15" i="5"/>
  <c r="K16" i="5"/>
  <c r="Q16" i="5"/>
  <c r="T16" i="5"/>
  <c r="K17" i="5"/>
  <c r="Q17" i="5"/>
  <c r="T17" i="5"/>
  <c r="K18" i="5"/>
  <c r="Q18" i="5"/>
  <c r="T18" i="5"/>
  <c r="K19" i="5"/>
  <c r="Q19" i="5"/>
  <c r="T19" i="5"/>
  <c r="K20" i="5"/>
  <c r="Q20" i="5"/>
  <c r="T20" i="5"/>
  <c r="K21" i="5"/>
  <c r="Q21" i="5"/>
  <c r="T21" i="5"/>
  <c r="K22" i="5"/>
  <c r="Q22" i="5"/>
  <c r="T22" i="5"/>
  <c r="K23" i="5"/>
  <c r="Q23" i="5"/>
  <c r="T23" i="5"/>
  <c r="K24" i="5"/>
  <c r="Q24" i="5"/>
  <c r="T24" i="5"/>
  <c r="K25" i="5"/>
  <c r="Q25" i="5"/>
  <c r="T25" i="5"/>
  <c r="K26" i="5"/>
  <c r="Q26" i="5"/>
  <c r="T26" i="5"/>
  <c r="K27" i="5"/>
  <c r="Q27" i="5"/>
  <c r="T27" i="5"/>
  <c r="K28" i="5"/>
  <c r="Q28" i="5"/>
  <c r="T28" i="5"/>
  <c r="K29" i="5"/>
  <c r="Q29" i="5"/>
  <c r="T29" i="5"/>
  <c r="K30" i="5"/>
  <c r="Q30" i="5"/>
  <c r="T30" i="5"/>
  <c r="K31" i="5"/>
  <c r="Q31" i="5"/>
  <c r="T31" i="5"/>
  <c r="K32" i="5"/>
  <c r="Q32" i="5"/>
  <c r="T32" i="5"/>
  <c r="K33" i="5"/>
  <c r="Q33" i="5"/>
  <c r="T33" i="5"/>
  <c r="K34" i="5"/>
  <c r="Q34" i="5"/>
  <c r="T34" i="5"/>
  <c r="K35" i="5"/>
  <c r="Q35" i="5"/>
  <c r="T35" i="5"/>
  <c r="K36" i="5"/>
  <c r="Q36" i="5"/>
  <c r="T36" i="5"/>
  <c r="K37" i="5"/>
  <c r="Q37" i="5"/>
  <c r="T37" i="5"/>
  <c r="K38" i="5"/>
  <c r="Q38" i="5"/>
  <c r="T38" i="5"/>
  <c r="K39" i="5"/>
  <c r="Q39" i="5"/>
  <c r="T39" i="5"/>
  <c r="N41" i="5"/>
  <c r="O41" i="5"/>
  <c r="R41" i="5"/>
  <c r="N42" i="5"/>
  <c r="O42" i="5"/>
  <c r="R42" i="5"/>
  <c r="O43" i="5"/>
  <c r="E2" i="16672"/>
  <c r="H2" i="16672"/>
  <c r="I2" i="16672" s="1"/>
  <c r="E3" i="16672"/>
  <c r="H3" i="16672"/>
  <c r="I3" i="16672" s="1"/>
  <c r="E4" i="16672"/>
  <c r="H4" i="16672"/>
  <c r="I4" i="16672" s="1"/>
  <c r="E5" i="16672"/>
  <c r="H5" i="16672"/>
  <c r="I5" i="16672" s="1"/>
  <c r="E6" i="16672"/>
  <c r="H6" i="16672"/>
  <c r="I6" i="16672" s="1"/>
  <c r="E7" i="16672"/>
  <c r="H7" i="16672"/>
  <c r="I7" i="16672" s="1"/>
  <c r="E8" i="16672"/>
  <c r="H8" i="16672"/>
  <c r="I8" i="16672" s="1"/>
  <c r="E9" i="16672"/>
  <c r="H9" i="16672"/>
  <c r="I9" i="16672" s="1"/>
  <c r="E10" i="16672"/>
  <c r="H10" i="16672"/>
  <c r="I10" i="16672" s="1"/>
  <c r="E11" i="16672"/>
  <c r="H11" i="16672"/>
  <c r="I11" i="16672" s="1"/>
  <c r="E12" i="16672"/>
  <c r="H12" i="16672"/>
  <c r="I12" i="16672" s="1"/>
  <c r="E13" i="16672"/>
  <c r="H13" i="16672"/>
  <c r="I13" i="16672" s="1"/>
  <c r="E14" i="16672"/>
  <c r="H14" i="16672"/>
  <c r="I14" i="16672" s="1"/>
  <c r="E15" i="16672"/>
  <c r="H15" i="16672"/>
  <c r="I15" i="16672" s="1"/>
  <c r="E16" i="16672"/>
  <c r="H16" i="16672"/>
  <c r="E17" i="16672"/>
  <c r="E18" i="16672"/>
  <c r="E19" i="16672"/>
  <c r="E20" i="16672"/>
  <c r="E21" i="16672"/>
  <c r="E22" i="16672"/>
  <c r="E23" i="16672"/>
  <c r="E24" i="16672"/>
  <c r="E25" i="16672"/>
  <c r="E26" i="16672"/>
  <c r="E27" i="16672"/>
  <c r="E28" i="16672"/>
  <c r="E29" i="16672"/>
  <c r="E30" i="16672"/>
  <c r="E31" i="16672"/>
  <c r="E32" i="16672"/>
  <c r="E33" i="16672"/>
  <c r="E34" i="16672"/>
  <c r="E35" i="16672"/>
  <c r="E36" i="16672"/>
  <c r="E37" i="16672"/>
  <c r="F38" i="16672"/>
  <c r="H1" i="16672" s="1"/>
  <c r="A1" i="16671"/>
  <c r="C2" i="16671"/>
  <c r="E2" i="16671"/>
  <c r="G16" i="16671"/>
  <c r="A1" i="4128"/>
  <c r="E1" i="4128"/>
  <c r="H1" i="4128"/>
  <c r="K1" i="4128"/>
  <c r="I5" i="4128"/>
  <c r="J5" i="4128"/>
  <c r="I6" i="4128"/>
  <c r="J6" i="4128"/>
  <c r="I7" i="4128"/>
  <c r="J7" i="4128"/>
  <c r="I8" i="4128"/>
  <c r="J8" i="4128"/>
  <c r="I9" i="4128"/>
  <c r="J9" i="4128"/>
  <c r="I10" i="4128"/>
  <c r="J10" i="4128"/>
  <c r="I11" i="4128"/>
  <c r="J11" i="4128"/>
  <c r="I12" i="4128"/>
  <c r="J12" i="4128"/>
  <c r="I13" i="4128"/>
  <c r="J13" i="4128"/>
  <c r="I14" i="4128"/>
  <c r="J14" i="4128"/>
  <c r="I15" i="4128"/>
  <c r="J15" i="4128"/>
  <c r="I16" i="4128"/>
  <c r="J16" i="4128"/>
  <c r="I17" i="4128"/>
  <c r="J17" i="4128"/>
  <c r="I18" i="4128"/>
  <c r="J18" i="4128"/>
  <c r="I19" i="4128"/>
  <c r="J19" i="4128"/>
  <c r="I20" i="4128"/>
  <c r="J20" i="4128"/>
  <c r="I21" i="4128"/>
  <c r="J21" i="4128"/>
  <c r="I22" i="4128"/>
  <c r="J22" i="4128"/>
  <c r="I23" i="4128"/>
  <c r="J23" i="4128"/>
  <c r="I24" i="4128"/>
  <c r="J24" i="4128"/>
  <c r="I25" i="4128"/>
  <c r="J25" i="4128"/>
  <c r="I26" i="4128"/>
  <c r="J26" i="4128"/>
  <c r="I27" i="4128"/>
  <c r="J27" i="4128"/>
  <c r="I28" i="4128"/>
  <c r="J28" i="4128"/>
  <c r="I29" i="4128"/>
  <c r="J29" i="4128"/>
  <c r="I30" i="4128"/>
  <c r="J30" i="4128"/>
  <c r="I31" i="4128"/>
  <c r="J31" i="4128"/>
  <c r="I32" i="4128"/>
  <c r="J32" i="4128"/>
  <c r="I33" i="4128"/>
  <c r="J33" i="4128"/>
  <c r="I34" i="4128"/>
  <c r="J34" i="4128"/>
  <c r="I35" i="4128"/>
  <c r="J35" i="4128"/>
  <c r="I36" i="4128"/>
  <c r="J36" i="4128"/>
  <c r="I37" i="4128"/>
  <c r="J37" i="4128"/>
  <c r="I38" i="4128"/>
  <c r="J38" i="4128"/>
  <c r="I39" i="4128"/>
  <c r="J39" i="4128"/>
  <c r="I40" i="4128"/>
  <c r="J40" i="4128"/>
  <c r="I41" i="4128"/>
  <c r="J41" i="4128"/>
  <c r="I42" i="4128"/>
  <c r="J42" i="4128"/>
  <c r="I43" i="4128"/>
  <c r="J43" i="4128"/>
  <c r="I44" i="4128"/>
  <c r="J44" i="4128"/>
  <c r="I45" i="4128"/>
  <c r="J45" i="4128"/>
  <c r="I46" i="4128"/>
  <c r="J46" i="4128"/>
  <c r="I47" i="4128"/>
  <c r="J47" i="4128"/>
  <c r="I48" i="4128"/>
  <c r="J48" i="4128"/>
  <c r="I49" i="4128"/>
  <c r="J49" i="4128"/>
  <c r="I50" i="4128"/>
  <c r="J50" i="4128"/>
  <c r="I51" i="4128"/>
  <c r="J51" i="4128"/>
  <c r="I52" i="4128"/>
  <c r="J52" i="4128"/>
  <c r="I53" i="4128"/>
  <c r="J53" i="4128"/>
  <c r="I54" i="4128"/>
  <c r="J54" i="4128"/>
  <c r="I55" i="4128"/>
  <c r="J55" i="4128"/>
  <c r="I56" i="4128"/>
  <c r="J56" i="4128"/>
  <c r="I57" i="4128"/>
  <c r="J57" i="4128"/>
  <c r="I58" i="4128"/>
  <c r="J58" i="4128"/>
  <c r="I59" i="4128"/>
  <c r="J59" i="4128"/>
  <c r="I60" i="4128"/>
  <c r="J60" i="4128"/>
  <c r="I61" i="4128"/>
  <c r="J61" i="4128"/>
  <c r="I62" i="4128"/>
  <c r="J62" i="4128"/>
  <c r="I63" i="4128"/>
  <c r="J63" i="4128"/>
  <c r="I64" i="4128"/>
  <c r="J64" i="4128"/>
  <c r="C67" i="4128"/>
  <c r="E67" i="4128"/>
  <c r="H67" i="4128"/>
  <c r="C68" i="4128"/>
  <c r="E68" i="4128"/>
  <c r="H68" i="4128"/>
  <c r="C69" i="4128"/>
  <c r="E69" i="4128"/>
  <c r="H69" i="4128"/>
  <c r="C70" i="4128"/>
  <c r="E70" i="4128"/>
  <c r="DO1" i="16"/>
  <c r="DQ1" i="16"/>
  <c r="DO2" i="16"/>
  <c r="DQ2" i="16"/>
  <c r="DO3" i="16"/>
  <c r="DQ3" i="16"/>
  <c r="DY3" i="16"/>
  <c r="DZ3" i="16"/>
  <c r="G4" i="16"/>
  <c r="G11" i="16" s="1"/>
  <c r="DO4" i="16"/>
  <c r="DQ4" i="16"/>
  <c r="A5" i="16"/>
  <c r="B5" i="16" s="1"/>
  <c r="E5" i="16"/>
  <c r="BC5" i="16" s="1"/>
  <c r="R5" i="16"/>
  <c r="S5" i="16"/>
  <c r="T5" i="16"/>
  <c r="U5" i="16"/>
  <c r="V5" i="16"/>
  <c r="W5" i="16"/>
  <c r="X5" i="16"/>
  <c r="Y5" i="16"/>
  <c r="Z5" i="16"/>
  <c r="AA5" i="16"/>
  <c r="AC5" i="16"/>
  <c r="AI5" i="16"/>
  <c r="AJ5" i="16"/>
  <c r="AK5" i="16"/>
  <c r="AX5" i="16"/>
  <c r="AY5" i="16"/>
  <c r="AZ5" i="16"/>
  <c r="BM5" i="16"/>
  <c r="BN5" i="16"/>
  <c r="BO5" i="16"/>
  <c r="CB5" i="16"/>
  <c r="CC5" i="16"/>
  <c r="CD5" i="16"/>
  <c r="CQ5" i="16"/>
  <c r="CR5" i="16"/>
  <c r="CS5" i="16"/>
  <c r="DO5" i="16"/>
  <c r="DQ5" i="16"/>
  <c r="DU5" i="16"/>
  <c r="DV5" i="16" s="1"/>
  <c r="E6" i="16"/>
  <c r="R6" i="16"/>
  <c r="S6" i="16"/>
  <c r="T6" i="16"/>
  <c r="U6" i="16"/>
  <c r="V6" i="16"/>
  <c r="W6" i="16"/>
  <c r="X6" i="16"/>
  <c r="Y6" i="16"/>
  <c r="Z6" i="16"/>
  <c r="AA6" i="16"/>
  <c r="AC6" i="16"/>
  <c r="AG6" i="16"/>
  <c r="AH6" i="16"/>
  <c r="AV6" i="16"/>
  <c r="AW6" i="16"/>
  <c r="BK6" i="16"/>
  <c r="BL6" i="16"/>
  <c r="BL7" i="16" s="1"/>
  <c r="BL8" i="16" s="1"/>
  <c r="BL9" i="16" s="1"/>
  <c r="BL10" i="16" s="1"/>
  <c r="BL11" i="16" s="1"/>
  <c r="BL12" i="16" s="1"/>
  <c r="BL13" i="16" s="1"/>
  <c r="BL14" i="16" s="1"/>
  <c r="BL15" i="16" s="1"/>
  <c r="BL16" i="16" s="1"/>
  <c r="BL17" i="16" s="1"/>
  <c r="BL18" i="16" s="1"/>
  <c r="BL19" i="16" s="1"/>
  <c r="BL20" i="16" s="1"/>
  <c r="BL21" i="16" s="1"/>
  <c r="BL22" i="16" s="1"/>
  <c r="BL23" i="16" s="1"/>
  <c r="BL24" i="16" s="1"/>
  <c r="BL25" i="16" s="1"/>
  <c r="BL26" i="16" s="1"/>
  <c r="BL27" i="16" s="1"/>
  <c r="BL28" i="16" s="1"/>
  <c r="BL29" i="16" s="1"/>
  <c r="BL30" i="16" s="1"/>
  <c r="BL31" i="16" s="1"/>
  <c r="BL32" i="16" s="1"/>
  <c r="BL33" i="16" s="1"/>
  <c r="BL34" i="16" s="1"/>
  <c r="BL35" i="16" s="1"/>
  <c r="BZ6" i="16"/>
  <c r="BZ7" i="16" s="1"/>
  <c r="BZ8" i="16" s="1"/>
  <c r="BZ9" i="16" s="1"/>
  <c r="BZ10" i="16" s="1"/>
  <c r="BZ11" i="16" s="1"/>
  <c r="BZ12" i="16" s="1"/>
  <c r="BZ13" i="16" s="1"/>
  <c r="BZ14" i="16" s="1"/>
  <c r="BZ15" i="16" s="1"/>
  <c r="BZ16" i="16" s="1"/>
  <c r="BZ17" i="16" s="1"/>
  <c r="BZ18" i="16" s="1"/>
  <c r="BZ19" i="16" s="1"/>
  <c r="BZ20" i="16" s="1"/>
  <c r="BZ21" i="16" s="1"/>
  <c r="BZ22" i="16" s="1"/>
  <c r="BZ23" i="16" s="1"/>
  <c r="BZ24" i="16" s="1"/>
  <c r="BZ25" i="16" s="1"/>
  <c r="BZ26" i="16" s="1"/>
  <c r="BZ27" i="16" s="1"/>
  <c r="BZ28" i="16" s="1"/>
  <c r="BZ29" i="16" s="1"/>
  <c r="BZ30" i="16" s="1"/>
  <c r="BZ31" i="16" s="1"/>
  <c r="BZ32" i="16" s="1"/>
  <c r="BZ33" i="16" s="1"/>
  <c r="BZ34" i="16" s="1"/>
  <c r="BZ35" i="16" s="1"/>
  <c r="CA6" i="16"/>
  <c r="CO6" i="16"/>
  <c r="CO7" i="16" s="1"/>
  <c r="CO8" i="16" s="1"/>
  <c r="CO9" i="16" s="1"/>
  <c r="CO10" i="16" s="1"/>
  <c r="CO11" i="16" s="1"/>
  <c r="CO12" i="16" s="1"/>
  <c r="CO13" i="16" s="1"/>
  <c r="CO14" i="16" s="1"/>
  <c r="CO15" i="16" s="1"/>
  <c r="CO16" i="16" s="1"/>
  <c r="CO17" i="16" s="1"/>
  <c r="CO18" i="16" s="1"/>
  <c r="CO19" i="16" s="1"/>
  <c r="CO20" i="16" s="1"/>
  <c r="CO21" i="16" s="1"/>
  <c r="CO22" i="16" s="1"/>
  <c r="CO23" i="16" s="1"/>
  <c r="CO24" i="16" s="1"/>
  <c r="CO25" i="16" s="1"/>
  <c r="CO26" i="16" s="1"/>
  <c r="CO27" i="16" s="1"/>
  <c r="CO28" i="16" s="1"/>
  <c r="CO29" i="16" s="1"/>
  <c r="CO30" i="16" s="1"/>
  <c r="CO31" i="16" s="1"/>
  <c r="CO32" i="16" s="1"/>
  <c r="CO33" i="16" s="1"/>
  <c r="CO34" i="16" s="1"/>
  <c r="CO35" i="16" s="1"/>
  <c r="CP6" i="16"/>
  <c r="DO6" i="16"/>
  <c r="DQ6" i="16"/>
  <c r="DU6" i="16"/>
  <c r="DV6" i="16" s="1"/>
  <c r="E7" i="16"/>
  <c r="R7" i="16"/>
  <c r="S7" i="16"/>
  <c r="T7" i="16"/>
  <c r="U7" i="16"/>
  <c r="V7" i="16"/>
  <c r="W7" i="16"/>
  <c r="X7" i="16"/>
  <c r="Y7" i="16"/>
  <c r="Z7" i="16"/>
  <c r="AA7" i="16"/>
  <c r="AC7" i="16"/>
  <c r="DO7" i="16"/>
  <c r="DQ7" i="16"/>
  <c r="DU7" i="16"/>
  <c r="DV7" i="16" s="1"/>
  <c r="E8" i="16"/>
  <c r="R8" i="16"/>
  <c r="S8" i="16"/>
  <c r="T8" i="16"/>
  <c r="U8" i="16"/>
  <c r="V8" i="16"/>
  <c r="W8" i="16"/>
  <c r="X8" i="16"/>
  <c r="Y8" i="16"/>
  <c r="Z8" i="16"/>
  <c r="AA8" i="16"/>
  <c r="AC8" i="16"/>
  <c r="DO8" i="16"/>
  <c r="DQ8" i="16"/>
  <c r="DU8" i="16"/>
  <c r="DV8" i="16" s="1"/>
  <c r="E9" i="16"/>
  <c r="G9" i="16"/>
  <c r="R9" i="16"/>
  <c r="S9" i="16"/>
  <c r="T9" i="16"/>
  <c r="U9" i="16"/>
  <c r="V9" i="16"/>
  <c r="W9" i="16"/>
  <c r="X9" i="16"/>
  <c r="Y9" i="16"/>
  <c r="Z9" i="16"/>
  <c r="AA9" i="16"/>
  <c r="AC9" i="16"/>
  <c r="DO9" i="16"/>
  <c r="DQ9" i="16"/>
  <c r="DU9" i="16"/>
  <c r="DV9" i="16" s="1"/>
  <c r="E10" i="16"/>
  <c r="R10" i="16"/>
  <c r="S10" i="16"/>
  <c r="T10" i="16"/>
  <c r="U10" i="16"/>
  <c r="V10" i="16"/>
  <c r="W10" i="16"/>
  <c r="X10" i="16"/>
  <c r="Y10" i="16"/>
  <c r="Z10" i="16"/>
  <c r="AA10" i="16"/>
  <c r="AC10" i="16"/>
  <c r="DU10" i="16"/>
  <c r="DV10" i="16" s="1"/>
  <c r="E11" i="16"/>
  <c r="R11" i="16"/>
  <c r="S11" i="16"/>
  <c r="T11" i="16"/>
  <c r="U11" i="16"/>
  <c r="V11" i="16"/>
  <c r="W11" i="16"/>
  <c r="X11" i="16"/>
  <c r="Y11" i="16"/>
  <c r="Z11" i="16"/>
  <c r="AC11" i="16"/>
  <c r="DU11" i="16"/>
  <c r="DV11" i="16" s="1"/>
  <c r="E12" i="16"/>
  <c r="G12" i="16"/>
  <c r="R12" i="16"/>
  <c r="S12" i="16"/>
  <c r="T12" i="16"/>
  <c r="U12" i="16"/>
  <c r="V12" i="16"/>
  <c r="W12" i="16"/>
  <c r="X12" i="16"/>
  <c r="Y12" i="16"/>
  <c r="Z12" i="16"/>
  <c r="AA12" i="16"/>
  <c r="AC12" i="16"/>
  <c r="E13" i="16"/>
  <c r="R13" i="16"/>
  <c r="S13" i="16"/>
  <c r="T13" i="16"/>
  <c r="U13" i="16"/>
  <c r="V13" i="16"/>
  <c r="W13" i="16"/>
  <c r="X13" i="16"/>
  <c r="Y13" i="16"/>
  <c r="Z13" i="16"/>
  <c r="AA13" i="16"/>
  <c r="AC13" i="16"/>
  <c r="E14" i="16"/>
  <c r="G14" i="16"/>
  <c r="R14" i="16"/>
  <c r="S14" i="16"/>
  <c r="T14" i="16"/>
  <c r="U14" i="16"/>
  <c r="V14" i="16"/>
  <c r="W14" i="16"/>
  <c r="X14" i="16"/>
  <c r="Y14" i="16"/>
  <c r="Z14" i="16"/>
  <c r="AA14" i="16"/>
  <c r="AC14" i="16"/>
  <c r="E15" i="16"/>
  <c r="G15" i="16"/>
  <c r="R15" i="16"/>
  <c r="S15" i="16"/>
  <c r="T15" i="16"/>
  <c r="U15" i="16"/>
  <c r="V15" i="16"/>
  <c r="W15" i="16"/>
  <c r="X15" i="16"/>
  <c r="Y15" i="16"/>
  <c r="Z15" i="16"/>
  <c r="AA15" i="16"/>
  <c r="AC15" i="16"/>
  <c r="E16" i="16"/>
  <c r="G16" i="16"/>
  <c r="R16" i="16"/>
  <c r="S16" i="16"/>
  <c r="T16" i="16"/>
  <c r="U16" i="16"/>
  <c r="V16" i="16"/>
  <c r="W16" i="16"/>
  <c r="X16" i="16"/>
  <c r="Y16" i="16"/>
  <c r="Z16" i="16"/>
  <c r="AA16" i="16"/>
  <c r="AC16" i="16"/>
  <c r="E17" i="16"/>
  <c r="G17" i="16"/>
  <c r="R17" i="16"/>
  <c r="S17" i="16"/>
  <c r="T17" i="16"/>
  <c r="U17" i="16"/>
  <c r="V17" i="16"/>
  <c r="W17" i="16"/>
  <c r="X17" i="16"/>
  <c r="Y17" i="16"/>
  <c r="Z17" i="16"/>
  <c r="AA17" i="16"/>
  <c r="AC17" i="16"/>
  <c r="E18" i="16"/>
  <c r="G18" i="16"/>
  <c r="R18" i="16"/>
  <c r="S18" i="16"/>
  <c r="T18" i="16"/>
  <c r="U18" i="16"/>
  <c r="V18" i="16"/>
  <c r="W18" i="16"/>
  <c r="X18" i="16"/>
  <c r="Y18" i="16"/>
  <c r="Z18" i="16"/>
  <c r="AA18" i="16"/>
  <c r="AC18" i="16"/>
  <c r="DM18" i="16"/>
  <c r="DV18" i="16"/>
  <c r="E19" i="16"/>
  <c r="G19" i="16"/>
  <c r="R19" i="16"/>
  <c r="S19" i="16"/>
  <c r="T19" i="16"/>
  <c r="U19" i="16"/>
  <c r="V19" i="16"/>
  <c r="W19" i="16"/>
  <c r="X19" i="16"/>
  <c r="Y19" i="16"/>
  <c r="Z19" i="16"/>
  <c r="AA19" i="16"/>
  <c r="AC19" i="16"/>
  <c r="DM19" i="16"/>
  <c r="DU19" i="16"/>
  <c r="DV19" i="16" s="1"/>
  <c r="E20" i="16"/>
  <c r="G20" i="16"/>
  <c r="R20" i="16"/>
  <c r="S20" i="16"/>
  <c r="T20" i="16"/>
  <c r="U20" i="16"/>
  <c r="V20" i="16"/>
  <c r="W20" i="16"/>
  <c r="X20" i="16"/>
  <c r="Y20" i="16"/>
  <c r="Z20" i="16"/>
  <c r="AA20" i="16"/>
  <c r="AC20" i="16"/>
  <c r="DM20" i="16"/>
  <c r="DU20" i="16"/>
  <c r="DV20" i="16" s="1"/>
  <c r="E21" i="16"/>
  <c r="G21" i="16"/>
  <c r="R21" i="16"/>
  <c r="S21" i="16"/>
  <c r="T21" i="16"/>
  <c r="U21" i="16"/>
  <c r="V21" i="16"/>
  <c r="W21" i="16"/>
  <c r="X21" i="16"/>
  <c r="Y21" i="16"/>
  <c r="Z21" i="16"/>
  <c r="AA21" i="16"/>
  <c r="AC21" i="16"/>
  <c r="DM21" i="16"/>
  <c r="DU21" i="16"/>
  <c r="DV21" i="16" s="1"/>
  <c r="E22" i="16"/>
  <c r="G22" i="16"/>
  <c r="R22" i="16"/>
  <c r="S22" i="16"/>
  <c r="T22" i="16"/>
  <c r="U22" i="16"/>
  <c r="V22" i="16"/>
  <c r="W22" i="16"/>
  <c r="X22" i="16"/>
  <c r="Y22" i="16"/>
  <c r="Z22" i="16"/>
  <c r="AA22" i="16"/>
  <c r="AC22" i="16"/>
  <c r="DM22" i="16"/>
  <c r="DU22" i="16"/>
  <c r="DV22" i="16" s="1"/>
  <c r="E23" i="16"/>
  <c r="G23" i="16"/>
  <c r="R23" i="16"/>
  <c r="S23" i="16"/>
  <c r="T23" i="16"/>
  <c r="U23" i="16"/>
  <c r="V23" i="16"/>
  <c r="W23" i="16"/>
  <c r="X23" i="16"/>
  <c r="Y23" i="16"/>
  <c r="Z23" i="16"/>
  <c r="AA23" i="16"/>
  <c r="AC23" i="16"/>
  <c r="DM23" i="16"/>
  <c r="DU23" i="16"/>
  <c r="DV23" i="16" s="1"/>
  <c r="E24" i="16"/>
  <c r="G24" i="16"/>
  <c r="R24" i="16"/>
  <c r="S24" i="16"/>
  <c r="T24" i="16"/>
  <c r="U24" i="16"/>
  <c r="V24" i="16"/>
  <c r="W24" i="16"/>
  <c r="X24" i="16"/>
  <c r="Y24" i="16"/>
  <c r="Z24" i="16"/>
  <c r="AA24" i="16"/>
  <c r="AC24" i="16"/>
  <c r="DM24" i="16"/>
  <c r="DU24" i="16"/>
  <c r="DV24" i="16" s="1"/>
  <c r="E25" i="16"/>
  <c r="G25" i="16"/>
  <c r="R25" i="16"/>
  <c r="S25" i="16"/>
  <c r="T25" i="16"/>
  <c r="U25" i="16"/>
  <c r="V25" i="16"/>
  <c r="W25" i="16"/>
  <c r="X25" i="16"/>
  <c r="Y25" i="16"/>
  <c r="Z25" i="16"/>
  <c r="AA25" i="16"/>
  <c r="AC25" i="16"/>
  <c r="DM25" i="16"/>
  <c r="E26" i="16"/>
  <c r="G26" i="16"/>
  <c r="R26" i="16"/>
  <c r="S26" i="16"/>
  <c r="T26" i="16"/>
  <c r="U26" i="16"/>
  <c r="V26" i="16"/>
  <c r="W26" i="16"/>
  <c r="X26" i="16"/>
  <c r="Y26" i="16"/>
  <c r="Z26" i="16"/>
  <c r="AA26" i="16"/>
  <c r="AC26" i="16"/>
  <c r="DM26" i="16"/>
  <c r="E27" i="16"/>
  <c r="G27" i="16"/>
  <c r="R27" i="16"/>
  <c r="S27" i="16"/>
  <c r="T27" i="16"/>
  <c r="U27" i="16"/>
  <c r="V27" i="16"/>
  <c r="W27" i="16"/>
  <c r="X27" i="16"/>
  <c r="Y27" i="16"/>
  <c r="Z27" i="16"/>
  <c r="AA27" i="16"/>
  <c r="AC27" i="16"/>
  <c r="DM27" i="16"/>
  <c r="E28" i="16"/>
  <c r="G28" i="16"/>
  <c r="R28" i="16"/>
  <c r="S28" i="16"/>
  <c r="T28" i="16"/>
  <c r="U28" i="16"/>
  <c r="V28" i="16"/>
  <c r="W28" i="16"/>
  <c r="X28" i="16"/>
  <c r="Y28" i="16"/>
  <c r="Z28" i="16"/>
  <c r="AA28" i="16"/>
  <c r="AC28" i="16"/>
  <c r="DM28" i="16"/>
  <c r="E29" i="16"/>
  <c r="G29" i="16"/>
  <c r="R29" i="16"/>
  <c r="S29" i="16"/>
  <c r="T29" i="16"/>
  <c r="U29" i="16"/>
  <c r="V29" i="16"/>
  <c r="W29" i="16"/>
  <c r="X29" i="16"/>
  <c r="Y29" i="16"/>
  <c r="Z29" i="16"/>
  <c r="AA29" i="16"/>
  <c r="AC29" i="16"/>
  <c r="DM29" i="16"/>
  <c r="E30" i="16"/>
  <c r="G30" i="16"/>
  <c r="R30" i="16"/>
  <c r="S30" i="16"/>
  <c r="T30" i="16"/>
  <c r="U30" i="16"/>
  <c r="V30" i="16"/>
  <c r="W30" i="16"/>
  <c r="X30" i="16"/>
  <c r="Y30" i="16"/>
  <c r="Z30" i="16"/>
  <c r="AA30" i="16"/>
  <c r="AC30" i="16"/>
  <c r="DM30" i="16"/>
  <c r="E31" i="16"/>
  <c r="G31" i="16"/>
  <c r="R31" i="16"/>
  <c r="S31" i="16"/>
  <c r="T31" i="16"/>
  <c r="U31" i="16"/>
  <c r="V31" i="16"/>
  <c r="W31" i="16"/>
  <c r="X31" i="16"/>
  <c r="Y31" i="16"/>
  <c r="Z31" i="16"/>
  <c r="AA31" i="16"/>
  <c r="AC31" i="16"/>
  <c r="DM31" i="16"/>
  <c r="DU31" i="16"/>
  <c r="DV31" i="16" s="1"/>
  <c r="E32" i="16"/>
  <c r="G32" i="16"/>
  <c r="R32" i="16"/>
  <c r="S32" i="16"/>
  <c r="T32" i="16"/>
  <c r="U32" i="16"/>
  <c r="V32" i="16"/>
  <c r="W32" i="16"/>
  <c r="X32" i="16"/>
  <c r="Y32" i="16"/>
  <c r="Z32" i="16"/>
  <c r="AA32" i="16"/>
  <c r="AC32" i="16"/>
  <c r="DM32" i="16"/>
  <c r="DU32" i="16"/>
  <c r="DV32" i="16" s="1"/>
  <c r="E33" i="16"/>
  <c r="G33" i="16"/>
  <c r="R33" i="16"/>
  <c r="S33" i="16"/>
  <c r="T33" i="16"/>
  <c r="U33" i="16"/>
  <c r="V33" i="16"/>
  <c r="W33" i="16"/>
  <c r="X33" i="16"/>
  <c r="Y33" i="16"/>
  <c r="Z33" i="16"/>
  <c r="AA33" i="16"/>
  <c r="AC33" i="16"/>
  <c r="DM33" i="16"/>
  <c r="DU33" i="16"/>
  <c r="DV33" i="16" s="1"/>
  <c r="E34" i="16"/>
  <c r="G34" i="16"/>
  <c r="R34" i="16"/>
  <c r="S34" i="16"/>
  <c r="T34" i="16"/>
  <c r="U34" i="16"/>
  <c r="V34" i="16"/>
  <c r="W34" i="16"/>
  <c r="X34" i="16"/>
  <c r="Y34" i="16"/>
  <c r="Z34" i="16"/>
  <c r="AA34" i="16"/>
  <c r="AC34" i="16"/>
  <c r="DM34" i="16"/>
  <c r="DU34" i="16"/>
  <c r="DV34" i="16" s="1"/>
  <c r="E35" i="16"/>
  <c r="G35" i="16"/>
  <c r="R35" i="16"/>
  <c r="S35" i="16"/>
  <c r="T35" i="16"/>
  <c r="U35" i="16"/>
  <c r="V35" i="16"/>
  <c r="W35" i="16"/>
  <c r="X35" i="16"/>
  <c r="Y35" i="16"/>
  <c r="Z35" i="16"/>
  <c r="AA35" i="16"/>
  <c r="AC35" i="16"/>
  <c r="DM35" i="16"/>
  <c r="DU35" i="16"/>
  <c r="DV35" i="16" s="1"/>
  <c r="DM36" i="16"/>
  <c r="DU36" i="16"/>
  <c r="DV36" i="16" s="1"/>
  <c r="DU37" i="16"/>
  <c r="DV37" i="16" s="1"/>
  <c r="DM38" i="16"/>
  <c r="DM39" i="16"/>
  <c r="DM40" i="16"/>
  <c r="DM41" i="16"/>
  <c r="DM42" i="16"/>
  <c r="DM43" i="16"/>
  <c r="DM44" i="16"/>
  <c r="DV44" i="16"/>
  <c r="DU45" i="16"/>
  <c r="DV45" i="16" s="1"/>
  <c r="DU46" i="16"/>
  <c r="DV46" i="16" s="1"/>
  <c r="DU47" i="16"/>
  <c r="DV47" i="16" s="1"/>
  <c r="DU48" i="16"/>
  <c r="DV48" i="16" s="1"/>
  <c r="DU49" i="16"/>
  <c r="DV49" i="16" s="1"/>
  <c r="DU50" i="16"/>
  <c r="DV50" i="16" s="1"/>
  <c r="A1" i="16669"/>
  <c r="B2" i="16669"/>
  <c r="D2" i="16669"/>
  <c r="G6" i="16669"/>
  <c r="G7" i="16669"/>
  <c r="G8" i="16669"/>
  <c r="G9" i="16669"/>
  <c r="G10" i="16669"/>
  <c r="G11" i="16669"/>
  <c r="G12" i="16669"/>
  <c r="G13" i="16669"/>
  <c r="G14" i="16669"/>
  <c r="G15" i="16669"/>
  <c r="G16" i="16669"/>
  <c r="G17" i="16669"/>
  <c r="G18" i="16669"/>
  <c r="G19" i="16669"/>
  <c r="G20" i="16669"/>
  <c r="G21" i="16669"/>
  <c r="G22" i="16669"/>
  <c r="G23" i="16669"/>
  <c r="G24" i="16669"/>
  <c r="G25" i="16669"/>
  <c r="G26" i="16669"/>
  <c r="G27" i="16669"/>
  <c r="G28" i="16669"/>
  <c r="G29" i="16669"/>
  <c r="G30" i="16669"/>
  <c r="G31" i="16669"/>
  <c r="G32" i="16669"/>
  <c r="G33" i="16669"/>
  <c r="G34" i="16669"/>
  <c r="G35" i="16669"/>
  <c r="G36" i="16669"/>
  <c r="G37" i="16669"/>
  <c r="G38" i="16669"/>
  <c r="G39" i="16669"/>
  <c r="G40" i="16669"/>
  <c r="G41" i="16669"/>
  <c r="G42" i="16669"/>
  <c r="G43" i="16669"/>
  <c r="G44" i="16669"/>
  <c r="DM9" i="16" l="1"/>
  <c r="BA5" i="16"/>
  <c r="BB5" i="16" s="1"/>
  <c r="AL5" i="16"/>
  <c r="AM5" i="16" s="1"/>
  <c r="G45" i="16669"/>
  <c r="O6" i="5"/>
  <c r="DM4" i="16"/>
  <c r="G13" i="16"/>
  <c r="H13" i="16" s="1"/>
  <c r="G10" i="16"/>
  <c r="H10" i="16" s="1"/>
  <c r="DM7" i="16"/>
  <c r="G5" i="16"/>
  <c r="CK5" i="16" s="1"/>
  <c r="DM8" i="16"/>
  <c r="Q6" i="5"/>
  <c r="W6" i="5"/>
  <c r="DM1" i="16"/>
  <c r="DY5" i="16"/>
  <c r="CR6" i="16"/>
  <c r="CP7" i="16"/>
  <c r="CP8" i="16" s="1"/>
  <c r="CP9" i="16" s="1"/>
  <c r="CP10" i="16" s="1"/>
  <c r="CP11" i="16" s="1"/>
  <c r="CP12" i="16" s="1"/>
  <c r="CP13" i="16" s="1"/>
  <c r="CP14" i="16" s="1"/>
  <c r="CP15" i="16" s="1"/>
  <c r="CP16" i="16" s="1"/>
  <c r="CP17" i="16" s="1"/>
  <c r="CP18" i="16" s="1"/>
  <c r="CP19" i="16" s="1"/>
  <c r="CP20" i="16" s="1"/>
  <c r="CP21" i="16" s="1"/>
  <c r="CP22" i="16" s="1"/>
  <c r="CP23" i="16" s="1"/>
  <c r="CP24" i="16" s="1"/>
  <c r="CP25" i="16" s="1"/>
  <c r="CP26" i="16" s="1"/>
  <c r="CP27" i="16" s="1"/>
  <c r="CP28" i="16" s="1"/>
  <c r="CP29" i="16" s="1"/>
  <c r="CP30" i="16" s="1"/>
  <c r="CP31" i="16" s="1"/>
  <c r="CP32" i="16" s="1"/>
  <c r="CP33" i="16" s="1"/>
  <c r="CP34" i="16" s="1"/>
  <c r="CP35" i="16" s="1"/>
  <c r="CE5" i="16"/>
  <c r="CF5" i="16" s="1"/>
  <c r="CC6" i="16"/>
  <c r="CA7" i="16"/>
  <c r="CD7" i="16" s="1"/>
  <c r="CD6" i="16"/>
  <c r="CB7" i="16"/>
  <c r="CB6" i="16"/>
  <c r="CG7" i="16"/>
  <c r="BP5" i="16"/>
  <c r="BQ5" i="16" s="1"/>
  <c r="S6" i="5"/>
  <c r="BM6" i="16"/>
  <c r="BK7" i="16"/>
  <c r="BR7" i="16" s="1"/>
  <c r="AY6" i="16"/>
  <c r="AW7" i="16"/>
  <c r="AW8" i="16" s="1"/>
  <c r="AW9" i="16" s="1"/>
  <c r="AW10" i="16" s="1"/>
  <c r="AW11" i="16" s="1"/>
  <c r="AW12" i="16" s="1"/>
  <c r="AW13" i="16" s="1"/>
  <c r="AW14" i="16" s="1"/>
  <c r="AW15" i="16" s="1"/>
  <c r="AW16" i="16" s="1"/>
  <c r="AW17" i="16" s="1"/>
  <c r="AW18" i="16" s="1"/>
  <c r="AW19" i="16" s="1"/>
  <c r="AW20" i="16" s="1"/>
  <c r="AW21" i="16" s="1"/>
  <c r="AW22" i="16" s="1"/>
  <c r="AW23" i="16" s="1"/>
  <c r="AW24" i="16" s="1"/>
  <c r="AW25" i="16" s="1"/>
  <c r="AW26" i="16" s="1"/>
  <c r="AW27" i="16" s="1"/>
  <c r="AW28" i="16" s="1"/>
  <c r="AW29" i="16" s="1"/>
  <c r="AW30" i="16" s="1"/>
  <c r="AW31" i="16" s="1"/>
  <c r="AW32" i="16" s="1"/>
  <c r="AW33" i="16" s="1"/>
  <c r="AW34" i="16" s="1"/>
  <c r="AW35" i="16" s="1"/>
  <c r="AX6" i="16"/>
  <c r="AV7" i="16"/>
  <c r="AV8" i="16" s="1"/>
  <c r="AV9" i="16" s="1"/>
  <c r="AV10" i="16" s="1"/>
  <c r="AV11" i="16" s="1"/>
  <c r="AV12" i="16" s="1"/>
  <c r="AV13" i="16" s="1"/>
  <c r="AV14" i="16" s="1"/>
  <c r="AV15" i="16" s="1"/>
  <c r="AV16" i="16" s="1"/>
  <c r="AV17" i="16" s="1"/>
  <c r="AV18" i="16" s="1"/>
  <c r="AV19" i="16" s="1"/>
  <c r="AV20" i="16" s="1"/>
  <c r="AV21" i="16" s="1"/>
  <c r="AV22" i="16" s="1"/>
  <c r="AV23" i="16" s="1"/>
  <c r="AV24" i="16" s="1"/>
  <c r="AV25" i="16" s="1"/>
  <c r="AV26" i="16" s="1"/>
  <c r="AV27" i="16" s="1"/>
  <c r="AV28" i="16" s="1"/>
  <c r="AV29" i="16" s="1"/>
  <c r="AV30" i="16" s="1"/>
  <c r="AV31" i="16" s="1"/>
  <c r="AV32" i="16" s="1"/>
  <c r="AV33" i="16" s="1"/>
  <c r="AV34" i="16" s="1"/>
  <c r="AV35" i="16" s="1"/>
  <c r="AI6" i="16"/>
  <c r="AG7" i="16"/>
  <c r="AG8" i="16" s="1"/>
  <c r="AG9" i="16" s="1"/>
  <c r="AG10" i="16" s="1"/>
  <c r="AG11" i="16" s="1"/>
  <c r="AG12" i="16" s="1"/>
  <c r="AG13" i="16" s="1"/>
  <c r="AG14" i="16" s="1"/>
  <c r="AG15" i="16" s="1"/>
  <c r="AG16" i="16" s="1"/>
  <c r="AG17" i="16" s="1"/>
  <c r="AG18" i="16" s="1"/>
  <c r="AG19" i="16" s="1"/>
  <c r="AG20" i="16" s="1"/>
  <c r="AG21" i="16" s="1"/>
  <c r="AG22" i="16" s="1"/>
  <c r="AG23" i="16" s="1"/>
  <c r="AG24" i="16" s="1"/>
  <c r="AG25" i="16" s="1"/>
  <c r="AG26" i="16" s="1"/>
  <c r="AG27" i="16" s="1"/>
  <c r="AG28" i="16" s="1"/>
  <c r="AG29" i="16" s="1"/>
  <c r="AG30" i="16" s="1"/>
  <c r="AG31" i="16" s="1"/>
  <c r="AG32" i="16" s="1"/>
  <c r="AG33" i="16" s="1"/>
  <c r="AG34" i="16" s="1"/>
  <c r="AG35" i="16" s="1"/>
  <c r="AN6" i="16"/>
  <c r="AK6" i="16"/>
  <c r="AH7" i="16"/>
  <c r="AH8" i="16" s="1"/>
  <c r="AH9" i="16" s="1"/>
  <c r="AH10" i="16" s="1"/>
  <c r="AH11" i="16" s="1"/>
  <c r="AH12" i="16" s="1"/>
  <c r="AH13" i="16" s="1"/>
  <c r="AH14" i="16" s="1"/>
  <c r="AH15" i="16" s="1"/>
  <c r="AH16" i="16" s="1"/>
  <c r="AH17" i="16" s="1"/>
  <c r="AH18" i="16" s="1"/>
  <c r="AH19" i="16" s="1"/>
  <c r="AH20" i="16" s="1"/>
  <c r="AH21" i="16" s="1"/>
  <c r="AH22" i="16" s="1"/>
  <c r="AH23" i="16" s="1"/>
  <c r="AH24" i="16" s="1"/>
  <c r="AH25" i="16" s="1"/>
  <c r="AH26" i="16" s="1"/>
  <c r="AH27" i="16" s="1"/>
  <c r="AH28" i="16" s="1"/>
  <c r="AH29" i="16" s="1"/>
  <c r="AH30" i="16" s="1"/>
  <c r="AH31" i="16" s="1"/>
  <c r="AH32" i="16" s="1"/>
  <c r="AH33" i="16" s="1"/>
  <c r="AH34" i="16" s="1"/>
  <c r="AH35" i="16" s="1"/>
  <c r="AJ6" i="16"/>
  <c r="DW24" i="16"/>
  <c r="DW50" i="16"/>
  <c r="DM15" i="16" s="1"/>
  <c r="BU5" i="16"/>
  <c r="AQ5" i="16"/>
  <c r="H17" i="16"/>
  <c r="U36" i="16"/>
  <c r="F63" i="16" s="1"/>
  <c r="O47" i="5" s="1"/>
  <c r="H11" i="16"/>
  <c r="CY5" i="16"/>
  <c r="BR5" i="16"/>
  <c r="AN5" i="16"/>
  <c r="DM6" i="16"/>
  <c r="CT5" i="16"/>
  <c r="CU5" i="16" s="1"/>
  <c r="DM3" i="16"/>
  <c r="DW37" i="16"/>
  <c r="AZ6" i="16"/>
  <c r="CG6" i="16"/>
  <c r="AC36" i="16"/>
  <c r="D61" i="16" s="1"/>
  <c r="T47" i="5" s="1"/>
  <c r="U6" i="5"/>
  <c r="H24" i="16"/>
  <c r="H22" i="16"/>
  <c r="H26" i="16"/>
  <c r="H16" i="16"/>
  <c r="H35" i="16"/>
  <c r="H30" i="16"/>
  <c r="H19" i="16"/>
  <c r="H32" i="16"/>
  <c r="H29" i="16"/>
  <c r="Y36" i="16"/>
  <c r="E65" i="16" s="1"/>
  <c r="W47" i="5" s="1"/>
  <c r="CJ6" i="16"/>
  <c r="CV5" i="16"/>
  <c r="CJ5" i="16"/>
  <c r="BF5" i="16"/>
  <c r="AB36" i="16"/>
  <c r="X36" i="16"/>
  <c r="D63" i="16" s="1"/>
  <c r="L47" i="5" s="1"/>
  <c r="T36" i="16"/>
  <c r="E63" i="16" s="1"/>
  <c r="N47" i="5" s="1"/>
  <c r="H15" i="16"/>
  <c r="CG5" i="16"/>
  <c r="EA3" i="16"/>
  <c r="H21" i="16"/>
  <c r="H34" i="16"/>
  <c r="H33" i="16"/>
  <c r="H28" i="16"/>
  <c r="AA36" i="16"/>
  <c r="E61" i="16" s="1"/>
  <c r="U47" i="5" s="1"/>
  <c r="W36" i="16"/>
  <c r="S36" i="16"/>
  <c r="E59" i="16" s="1"/>
  <c r="R47" i="5" s="1"/>
  <c r="H27" i="16"/>
  <c r="Z36" i="16"/>
  <c r="V36" i="16"/>
  <c r="R36" i="16"/>
  <c r="D59" i="16" s="1"/>
  <c r="H20" i="16"/>
  <c r="CQ6" i="16"/>
  <c r="CS6" i="16"/>
  <c r="CV6" i="16"/>
  <c r="H31" i="16"/>
  <c r="H25" i="16"/>
  <c r="H14" i="16"/>
  <c r="DW11" i="16"/>
  <c r="H23" i="16"/>
  <c r="H18" i="16"/>
  <c r="H12" i="16"/>
  <c r="CG8" i="16"/>
  <c r="H9" i="16"/>
  <c r="BN6" i="16"/>
  <c r="BO6" i="16"/>
  <c r="CB8" i="16"/>
  <c r="CH9" i="16"/>
  <c r="BU6" i="16"/>
  <c r="DM5" i="16"/>
  <c r="AQ6" i="16"/>
  <c r="BF6" i="16"/>
  <c r="BR6" i="16"/>
  <c r="BC6" i="16"/>
  <c r="CY6" i="16"/>
  <c r="B9" i="5"/>
  <c r="A6" i="16"/>
  <c r="G6" i="16"/>
  <c r="G8" i="16"/>
  <c r="G7" i="16"/>
  <c r="H70" i="4128"/>
  <c r="A9" i="5"/>
  <c r="DM2" i="16"/>
  <c r="DM14" i="16" l="1"/>
  <c r="DT39" i="16"/>
  <c r="DT26" i="16"/>
  <c r="CZ5" i="16"/>
  <c r="DA5" i="16" s="1"/>
  <c r="AY7" i="16"/>
  <c r="AJ8" i="16"/>
  <c r="AO5" i="16"/>
  <c r="AP5" i="16" s="1"/>
  <c r="CL5" i="16"/>
  <c r="CR7" i="16"/>
  <c r="CT6" i="16"/>
  <c r="CU6" i="16" s="1"/>
  <c r="CJ7" i="16"/>
  <c r="BP6" i="16"/>
  <c r="BD5" i="16"/>
  <c r="BE5" i="16" s="1"/>
  <c r="CH5" i="16"/>
  <c r="CI5" i="16" s="1"/>
  <c r="BV5" i="16"/>
  <c r="BW5" i="16" s="1"/>
  <c r="BS5" i="16"/>
  <c r="BT5" i="16" s="1"/>
  <c r="CW5" i="16"/>
  <c r="CX5" i="16" s="1"/>
  <c r="H5" i="16"/>
  <c r="AR5" i="16"/>
  <c r="AS5" i="16" s="1"/>
  <c r="BG5" i="16"/>
  <c r="BH5" i="16" s="1"/>
  <c r="CE6" i="16"/>
  <c r="CF6" i="16" s="1"/>
  <c r="CY7" i="16"/>
  <c r="CA8" i="16"/>
  <c r="CK8" i="16" s="1"/>
  <c r="CC7" i="16"/>
  <c r="CE7" i="16" s="1"/>
  <c r="CF7" i="16" s="1"/>
  <c r="BK8" i="16"/>
  <c r="BS8" i="16" s="1"/>
  <c r="BM7" i="16"/>
  <c r="BF7" i="16"/>
  <c r="BA6" i="16"/>
  <c r="BB6" i="16" s="1"/>
  <c r="AI7" i="16"/>
  <c r="AN7" i="16"/>
  <c r="AL6" i="16"/>
  <c r="AM6" i="16" s="1"/>
  <c r="AJ7" i="16"/>
  <c r="F61" i="16"/>
  <c r="V47" i="5" s="1"/>
  <c r="DT52" i="16"/>
  <c r="AQ7" i="16"/>
  <c r="AJ9" i="16"/>
  <c r="AQ8" i="16"/>
  <c r="AK7" i="16"/>
  <c r="BQ6" i="16"/>
  <c r="BC7" i="16"/>
  <c r="BD8" i="16"/>
  <c r="AX7" i="16"/>
  <c r="CQ7" i="16"/>
  <c r="CT7" i="16" s="1"/>
  <c r="AQ9" i="16"/>
  <c r="BG7" i="16"/>
  <c r="BS7" i="16"/>
  <c r="BT7" i="16" s="1"/>
  <c r="AR7" i="16"/>
  <c r="BD7" i="16"/>
  <c r="CZ7" i="16"/>
  <c r="AO7" i="16"/>
  <c r="CW7" i="16"/>
  <c r="CH7" i="16"/>
  <c r="CI7" i="16" s="1"/>
  <c r="CK7" i="16"/>
  <c r="BV7" i="16"/>
  <c r="H7" i="16"/>
  <c r="AI8" i="16"/>
  <c r="AN8" i="16"/>
  <c r="Q47" i="5"/>
  <c r="F59" i="16"/>
  <c r="S47" i="5" s="1"/>
  <c r="CV7" i="16"/>
  <c r="AR8" i="16"/>
  <c r="CZ8" i="16"/>
  <c r="H8" i="16"/>
  <c r="AO8" i="16"/>
  <c r="CW8" i="16"/>
  <c r="CH8" i="16"/>
  <c r="CI8" i="16" s="1"/>
  <c r="BG8" i="16"/>
  <c r="CG9" i="16"/>
  <c r="CI9" i="16" s="1"/>
  <c r="CB9" i="16"/>
  <c r="A10" i="5"/>
  <c r="DY6" i="16"/>
  <c r="A7" i="16"/>
  <c r="B6" i="16"/>
  <c r="B10" i="5" s="1"/>
  <c r="AZ7" i="16"/>
  <c r="AK8" i="16"/>
  <c r="E9" i="5"/>
  <c r="D9" i="5"/>
  <c r="BV6" i="16"/>
  <c r="BW6" i="16" s="1"/>
  <c r="CH6" i="16"/>
  <c r="CI6" i="16" s="1"/>
  <c r="H6" i="16"/>
  <c r="AR6" i="16"/>
  <c r="AS6" i="16" s="1"/>
  <c r="BG6" i="16"/>
  <c r="BH6" i="16" s="1"/>
  <c r="BS6" i="16"/>
  <c r="BT6" i="16" s="1"/>
  <c r="BD6" i="16"/>
  <c r="BE6" i="16" s="1"/>
  <c r="CZ6" i="16"/>
  <c r="DA6" i="16" s="1"/>
  <c r="AO6" i="16"/>
  <c r="AP6" i="16" s="1"/>
  <c r="CK6" i="16"/>
  <c r="CL6" i="16" s="1"/>
  <c r="CW6" i="16"/>
  <c r="CX6" i="16" s="1"/>
  <c r="AY8" i="16"/>
  <c r="BF8" i="16"/>
  <c r="BO7" i="16"/>
  <c r="BV8" i="16"/>
  <c r="BU7" i="16"/>
  <c r="BN7" i="16"/>
  <c r="CR8" i="16"/>
  <c r="CY8" i="16"/>
  <c r="CS7" i="16"/>
  <c r="DM12" i="16"/>
  <c r="DT13" i="16"/>
  <c r="AL8" i="16" l="1"/>
  <c r="C5" i="16"/>
  <c r="DZ5" i="16" s="1"/>
  <c r="BA7" i="16"/>
  <c r="BB7" i="16" s="1"/>
  <c r="CL7" i="16"/>
  <c r="CM7" i="16" s="1"/>
  <c r="CN7" i="16" s="1"/>
  <c r="CM5" i="16"/>
  <c r="CN5" i="16" s="1"/>
  <c r="BI5" i="16"/>
  <c r="BJ5" i="16" s="1"/>
  <c r="C6" i="16"/>
  <c r="C7" i="16"/>
  <c r="AP7" i="16"/>
  <c r="BH7" i="16"/>
  <c r="DA7" i="16"/>
  <c r="CA9" i="16"/>
  <c r="CC8" i="16"/>
  <c r="CE8" i="16" s="1"/>
  <c r="CJ8" i="16"/>
  <c r="CL8" i="16" s="1"/>
  <c r="CM8" i="16" s="1"/>
  <c r="CD8" i="16"/>
  <c r="BK9" i="16"/>
  <c r="BM8" i="16"/>
  <c r="BR8" i="16"/>
  <c r="BT8" i="16" s="1"/>
  <c r="BP7" i="16"/>
  <c r="BQ7" i="16" s="1"/>
  <c r="AL7" i="16"/>
  <c r="AM7" i="16" s="1"/>
  <c r="AS7" i="16"/>
  <c r="CU7" i="16"/>
  <c r="AR9" i="16"/>
  <c r="AS9" i="16" s="1"/>
  <c r="AS8" i="16"/>
  <c r="DB5" i="16"/>
  <c r="DC5" i="16" s="1"/>
  <c r="BX5" i="16"/>
  <c r="BY5" i="16" s="1"/>
  <c r="AT5" i="16"/>
  <c r="AU5" i="16" s="1"/>
  <c r="BH8" i="16"/>
  <c r="BI6" i="16"/>
  <c r="BJ6" i="16" s="1"/>
  <c r="BW7" i="16"/>
  <c r="BX7" i="16" s="1"/>
  <c r="BX6" i="16"/>
  <c r="BY6" i="16" s="1"/>
  <c r="DB6" i="16"/>
  <c r="DC6" i="16" s="1"/>
  <c r="CZ9" i="16"/>
  <c r="CR9" i="16"/>
  <c r="CY9" i="16"/>
  <c r="CQ8" i="16"/>
  <c r="CT8" i="16" s="1"/>
  <c r="CS9" i="16"/>
  <c r="CV8" i="16"/>
  <c r="CX8" i="16" s="1"/>
  <c r="CS8" i="16"/>
  <c r="BN8" i="16"/>
  <c r="BO8" i="16"/>
  <c r="BU8" i="16"/>
  <c r="BW8" i="16" s="1"/>
  <c r="AY9" i="16"/>
  <c r="BG9" i="16"/>
  <c r="BF9" i="16"/>
  <c r="CM6" i="16"/>
  <c r="CN6" i="16" s="1"/>
  <c r="CG10" i="16"/>
  <c r="CB10" i="16"/>
  <c r="CH10" i="16"/>
  <c r="AQ10" i="16"/>
  <c r="AJ10" i="16"/>
  <c r="AR10" i="16"/>
  <c r="AX8" i="16"/>
  <c r="BA8" i="16" s="1"/>
  <c r="BC8" i="16"/>
  <c r="BE8" i="16" s="1"/>
  <c r="AZ9" i="16"/>
  <c r="AZ8" i="16"/>
  <c r="AT6" i="16"/>
  <c r="AM8" i="16"/>
  <c r="D10" i="5"/>
  <c r="E10" i="5"/>
  <c r="AN9" i="16"/>
  <c r="AK10" i="16"/>
  <c r="AI9" i="16"/>
  <c r="AL9" i="16" s="1"/>
  <c r="AO9" i="16"/>
  <c r="BE7" i="16"/>
  <c r="A11" i="5"/>
  <c r="DY7" i="16"/>
  <c r="A8" i="16"/>
  <c r="C8" i="16" s="1"/>
  <c r="B7" i="16"/>
  <c r="B11" i="5" s="1"/>
  <c r="H36" i="16"/>
  <c r="DA8" i="16"/>
  <c r="CX7" i="16"/>
  <c r="AP8" i="16"/>
  <c r="AK9" i="16"/>
  <c r="AT7" i="16" l="1"/>
  <c r="C9" i="5"/>
  <c r="O9" i="5" s="1"/>
  <c r="CN8" i="16"/>
  <c r="CF8" i="16"/>
  <c r="DZ6" i="16"/>
  <c r="EA6" i="16" s="1"/>
  <c r="DB7" i="16"/>
  <c r="DC7" i="16" s="1"/>
  <c r="BX8" i="16"/>
  <c r="BI7" i="16"/>
  <c r="BJ7" i="16" s="1"/>
  <c r="CA10" i="16"/>
  <c r="CK9" i="16"/>
  <c r="CJ9" i="16"/>
  <c r="CC9" i="16"/>
  <c r="CE9" i="16" s="1"/>
  <c r="CD9" i="16"/>
  <c r="BY7" i="16"/>
  <c r="BK10" i="16"/>
  <c r="BR9" i="16"/>
  <c r="BS9" i="16"/>
  <c r="BM9" i="16"/>
  <c r="BP8" i="16"/>
  <c r="BQ8" i="16" s="1"/>
  <c r="AT8" i="16"/>
  <c r="AU8" i="16" s="1"/>
  <c r="AM9" i="16"/>
  <c r="DE5" i="16"/>
  <c r="N5" i="16" s="1"/>
  <c r="DD5" i="16"/>
  <c r="I5" i="16" s="1"/>
  <c r="BI8" i="16"/>
  <c r="BJ8" i="16" s="1"/>
  <c r="C10" i="5"/>
  <c r="O10" i="5" s="1"/>
  <c r="CI10" i="16"/>
  <c r="DA9" i="16"/>
  <c r="BH9" i="16"/>
  <c r="CQ9" i="16"/>
  <c r="CT9" i="16" s="1"/>
  <c r="CU9" i="16" s="1"/>
  <c r="CV9" i="16"/>
  <c r="CW9" i="16"/>
  <c r="C11" i="5"/>
  <c r="DZ7" i="16"/>
  <c r="EA7" i="16" s="1"/>
  <c r="D11" i="5"/>
  <c r="E11" i="5"/>
  <c r="DD6" i="16"/>
  <c r="I6" i="16" s="1"/>
  <c r="AU6" i="16"/>
  <c r="DE6" i="16" s="1"/>
  <c r="N6" i="16" s="1"/>
  <c r="M10" i="5" s="1"/>
  <c r="EA5" i="16"/>
  <c r="AQ11" i="16"/>
  <c r="AJ11" i="16"/>
  <c r="AK11" i="16"/>
  <c r="AR11" i="16"/>
  <c r="AU7" i="16"/>
  <c r="BN9" i="16"/>
  <c r="BO9" i="16"/>
  <c r="BU9" i="16"/>
  <c r="BV9" i="16"/>
  <c r="CY10" i="16"/>
  <c r="CZ10" i="16"/>
  <c r="CS10" i="16"/>
  <c r="CR10" i="16"/>
  <c r="AI10" i="16"/>
  <c r="AL10" i="16" s="1"/>
  <c r="AM10" i="16" s="1"/>
  <c r="AN10" i="16"/>
  <c r="AO10" i="16"/>
  <c r="BB8" i="16"/>
  <c r="CU8" i="16"/>
  <c r="A12" i="5"/>
  <c r="B8" i="16"/>
  <c r="B12" i="5" s="1"/>
  <c r="DY8" i="16"/>
  <c r="A9" i="16"/>
  <c r="C9" i="16" s="1"/>
  <c r="AP9" i="16"/>
  <c r="AT9" i="16" s="1"/>
  <c r="AX9" i="16"/>
  <c r="BA9" i="16" s="1"/>
  <c r="BB9" i="16" s="1"/>
  <c r="BC9" i="16"/>
  <c r="BD9" i="16"/>
  <c r="AS10" i="16"/>
  <c r="CG11" i="16"/>
  <c r="CB11" i="16"/>
  <c r="CH11" i="16"/>
  <c r="AY10" i="16"/>
  <c r="AZ10" i="16"/>
  <c r="BF10" i="16"/>
  <c r="BG10" i="16"/>
  <c r="DB8" i="16"/>
  <c r="DC8" i="16" s="1"/>
  <c r="CF9" i="16" l="1"/>
  <c r="M9" i="5"/>
  <c r="DD7" i="16"/>
  <c r="I7" i="16" s="1"/>
  <c r="J7" i="16" s="1"/>
  <c r="K7" i="16" s="1"/>
  <c r="CL9" i="16"/>
  <c r="CM9" i="16" s="1"/>
  <c r="CN9" i="16" s="1"/>
  <c r="CA11" i="16"/>
  <c r="CK10" i="16"/>
  <c r="CC10" i="16"/>
  <c r="CE10" i="16" s="1"/>
  <c r="CD10" i="16"/>
  <c r="CJ10" i="16"/>
  <c r="BY8" i="16"/>
  <c r="DE8" i="16" s="1"/>
  <c r="N8" i="16" s="1"/>
  <c r="M12" i="5" s="1"/>
  <c r="DE7" i="16"/>
  <c r="N7" i="16" s="1"/>
  <c r="M11" i="5" s="1"/>
  <c r="BP9" i="16"/>
  <c r="BT9" i="16"/>
  <c r="BK11" i="16"/>
  <c r="BM10" i="16"/>
  <c r="BS10" i="16"/>
  <c r="BR10" i="16"/>
  <c r="O11" i="5"/>
  <c r="AP10" i="16"/>
  <c r="AT10" i="16" s="1"/>
  <c r="AU10" i="16" s="1"/>
  <c r="BE9" i="16"/>
  <c r="BI9" i="16" s="1"/>
  <c r="BJ9" i="16" s="1"/>
  <c r="DA10" i="16"/>
  <c r="CB12" i="16"/>
  <c r="CH12" i="16"/>
  <c r="CG12" i="16"/>
  <c r="F9" i="5"/>
  <c r="J5" i="16"/>
  <c r="BO10" i="16"/>
  <c r="BU10" i="16"/>
  <c r="BV10" i="16"/>
  <c r="BN10" i="16"/>
  <c r="E12" i="5"/>
  <c r="D12" i="5"/>
  <c r="AI11" i="16"/>
  <c r="AL11" i="16" s="1"/>
  <c r="AM11" i="16" s="1"/>
  <c r="AO11" i="16"/>
  <c r="AN11" i="16"/>
  <c r="CQ10" i="16"/>
  <c r="CT10" i="16" s="1"/>
  <c r="CU10" i="16" s="1"/>
  <c r="CV10" i="16"/>
  <c r="CW10" i="16"/>
  <c r="AY11" i="16"/>
  <c r="BF11" i="16"/>
  <c r="BG11" i="16"/>
  <c r="AU9" i="16"/>
  <c r="C12" i="5"/>
  <c r="DZ8" i="16"/>
  <c r="EA8" i="16" s="1"/>
  <c r="DD8" i="16"/>
  <c r="I8" i="16" s="1"/>
  <c r="J8" i="16" s="1"/>
  <c r="BW9" i="16"/>
  <c r="AS11" i="16"/>
  <c r="F10" i="5"/>
  <c r="J6" i="16"/>
  <c r="M6" i="16" s="1"/>
  <c r="CX9" i="16"/>
  <c r="DB9" i="16" s="1"/>
  <c r="DC9" i="16" s="1"/>
  <c r="B9" i="16"/>
  <c r="B13" i="5" s="1"/>
  <c r="A10" i="16"/>
  <c r="C10" i="16" s="1"/>
  <c r="DY9" i="16"/>
  <c r="A13" i="5"/>
  <c r="BH10" i="16"/>
  <c r="CI11" i="16"/>
  <c r="BC10" i="16"/>
  <c r="BD10" i="16"/>
  <c r="AZ11" i="16"/>
  <c r="AX10" i="16"/>
  <c r="BA10" i="16" s="1"/>
  <c r="BB10" i="16" s="1"/>
  <c r="CY11" i="16"/>
  <c r="CR11" i="16"/>
  <c r="CZ11" i="16"/>
  <c r="BQ9" i="16"/>
  <c r="AJ12" i="16"/>
  <c r="AR12" i="16"/>
  <c r="AQ12" i="16"/>
  <c r="L7" i="16" l="1"/>
  <c r="I11" i="5" s="1"/>
  <c r="M7" i="16"/>
  <c r="N11" i="5" s="1"/>
  <c r="CL10" i="16"/>
  <c r="CM10" i="16" s="1"/>
  <c r="CN10" i="16" s="1"/>
  <c r="M5" i="16"/>
  <c r="N9" i="5" s="1"/>
  <c r="G9" i="5"/>
  <c r="BX9" i="16"/>
  <c r="BY9" i="16" s="1"/>
  <c r="DE9" i="16" s="1"/>
  <c r="N9" i="16" s="1"/>
  <c r="M13" i="5" s="1"/>
  <c r="G11" i="5"/>
  <c r="F11" i="5"/>
  <c r="BT10" i="16"/>
  <c r="CF10" i="16"/>
  <c r="CA12" i="16"/>
  <c r="CJ11" i="16"/>
  <c r="CK11" i="16"/>
  <c r="CC11" i="16"/>
  <c r="CE11" i="16" s="1"/>
  <c r="CD11" i="16"/>
  <c r="BP10" i="16"/>
  <c r="BQ10" i="16" s="1"/>
  <c r="BK12" i="16"/>
  <c r="BR11" i="16"/>
  <c r="BS11" i="16"/>
  <c r="BM11" i="16"/>
  <c r="O6" i="16"/>
  <c r="L10" i="5" s="1"/>
  <c r="N10" i="5"/>
  <c r="K8" i="16"/>
  <c r="M8" i="16"/>
  <c r="AS12" i="16"/>
  <c r="BW10" i="16"/>
  <c r="CI12" i="16"/>
  <c r="CX10" i="16"/>
  <c r="DB10" i="16" s="1"/>
  <c r="DC10" i="16" s="1"/>
  <c r="O12" i="5"/>
  <c r="BH11" i="16"/>
  <c r="AP11" i="16"/>
  <c r="AT11" i="16" s="1"/>
  <c r="AU11" i="16" s="1"/>
  <c r="AJ13" i="16"/>
  <c r="AQ13" i="16"/>
  <c r="AR13" i="16"/>
  <c r="K6" i="16"/>
  <c r="L6" i="16" s="1"/>
  <c r="G10" i="5"/>
  <c r="AY12" i="16"/>
  <c r="BG12" i="16"/>
  <c r="BF12" i="16"/>
  <c r="CQ11" i="16"/>
  <c r="CT11" i="16" s="1"/>
  <c r="CV11" i="16"/>
  <c r="CS12" i="16"/>
  <c r="CW11" i="16"/>
  <c r="AK13" i="16"/>
  <c r="AI12" i="16"/>
  <c r="AL12" i="16" s="1"/>
  <c r="AO12" i="16"/>
  <c r="AN12" i="16"/>
  <c r="CS11" i="16"/>
  <c r="G12" i="5"/>
  <c r="F12" i="5"/>
  <c r="CB13" i="16"/>
  <c r="CH13" i="16"/>
  <c r="CG13" i="16"/>
  <c r="AK12" i="16"/>
  <c r="DA11" i="16"/>
  <c r="C13" i="5"/>
  <c r="DZ9" i="16"/>
  <c r="EA9" i="16" s="1"/>
  <c r="CR12" i="16"/>
  <c r="CZ12" i="16"/>
  <c r="CY12" i="16"/>
  <c r="K5" i="16"/>
  <c r="L5" i="16" s="1"/>
  <c r="BE10" i="16"/>
  <c r="BI10" i="16" s="1"/>
  <c r="A14" i="5"/>
  <c r="A11" i="16"/>
  <c r="C11" i="16" s="1"/>
  <c r="DY10" i="16"/>
  <c r="B10" i="16"/>
  <c r="B14" i="5" s="1"/>
  <c r="BC11" i="16"/>
  <c r="BD11" i="16"/>
  <c r="AX11" i="16"/>
  <c r="BA11" i="16" s="1"/>
  <c r="BB11" i="16" s="1"/>
  <c r="E13" i="5"/>
  <c r="D13" i="5"/>
  <c r="BO11" i="16"/>
  <c r="BN11" i="16"/>
  <c r="BU11" i="16"/>
  <c r="BV11" i="16"/>
  <c r="BP11" i="16" l="1"/>
  <c r="BQ11" i="16" s="1"/>
  <c r="DD9" i="16"/>
  <c r="I9" i="16" s="1"/>
  <c r="J9" i="16" s="1"/>
  <c r="K9" i="16" s="1"/>
  <c r="EC7" i="16"/>
  <c r="L8" i="16"/>
  <c r="EC8" i="16" s="1"/>
  <c r="BX10" i="16"/>
  <c r="BY10" i="16" s="1"/>
  <c r="O7" i="16"/>
  <c r="L11" i="5" s="1"/>
  <c r="O5" i="16"/>
  <c r="L9" i="5" s="1"/>
  <c r="CL11" i="16"/>
  <c r="CM11" i="16" s="1"/>
  <c r="CN11" i="16" s="1"/>
  <c r="CA13" i="16"/>
  <c r="CC12" i="16"/>
  <c r="CE12" i="16" s="1"/>
  <c r="CJ12" i="16"/>
  <c r="CK12" i="16"/>
  <c r="CD12" i="16"/>
  <c r="CF11" i="16"/>
  <c r="BT11" i="16"/>
  <c r="BK13" i="16"/>
  <c r="BM12" i="16"/>
  <c r="BR12" i="16"/>
  <c r="BS12" i="16"/>
  <c r="I9" i="5"/>
  <c r="EC5" i="16"/>
  <c r="I10" i="5"/>
  <c r="EC6" i="16"/>
  <c r="O8" i="16"/>
  <c r="L12" i="5" s="1"/>
  <c r="N12" i="5"/>
  <c r="CX11" i="16"/>
  <c r="DB11" i="16" s="1"/>
  <c r="DC11" i="16" s="1"/>
  <c r="O13" i="5"/>
  <c r="A15" i="5"/>
  <c r="DY11" i="16"/>
  <c r="A12" i="16"/>
  <c r="C12" i="16" s="1"/>
  <c r="B11" i="16"/>
  <c r="B15" i="5" s="1"/>
  <c r="C14" i="5"/>
  <c r="DZ10" i="16"/>
  <c r="DA12" i="16"/>
  <c r="CB14" i="16"/>
  <c r="CH14" i="16"/>
  <c r="CG14" i="16"/>
  <c r="AY13" i="16"/>
  <c r="BF13" i="16"/>
  <c r="BG13" i="16"/>
  <c r="BW11" i="16"/>
  <c r="BD12" i="16"/>
  <c r="AX12" i="16"/>
  <c r="BA12" i="16" s="1"/>
  <c r="BC12" i="16"/>
  <c r="D14" i="5"/>
  <c r="E14" i="5"/>
  <c r="AM12" i="16"/>
  <c r="AP12" i="16"/>
  <c r="AT12" i="16" s="1"/>
  <c r="BH12" i="16"/>
  <c r="AZ12" i="16"/>
  <c r="AS13" i="16"/>
  <c r="BO12" i="16"/>
  <c r="BV12" i="16"/>
  <c r="BN12" i="16"/>
  <c r="BU12" i="16"/>
  <c r="CU11" i="16"/>
  <c r="AI13" i="16"/>
  <c r="AL13" i="16" s="1"/>
  <c r="AM13" i="16" s="1"/>
  <c r="AO13" i="16"/>
  <c r="AN13" i="16"/>
  <c r="BE11" i="16"/>
  <c r="BI11" i="16" s="1"/>
  <c r="BJ10" i="16"/>
  <c r="CR13" i="16"/>
  <c r="CZ13" i="16"/>
  <c r="CY13" i="16"/>
  <c r="CI13" i="16"/>
  <c r="CS13" i="16"/>
  <c r="CQ12" i="16"/>
  <c r="CT12" i="16" s="1"/>
  <c r="CU12" i="16" s="1"/>
  <c r="CW12" i="16"/>
  <c r="CV12" i="16"/>
  <c r="AK14" i="16"/>
  <c r="AJ14" i="16"/>
  <c r="AR14" i="16"/>
  <c r="AQ14" i="16"/>
  <c r="F13" i="5" l="1"/>
  <c r="M9" i="16"/>
  <c r="N13" i="5" s="1"/>
  <c r="G13" i="5"/>
  <c r="DD10" i="16"/>
  <c r="I10" i="16" s="1"/>
  <c r="L9" i="16"/>
  <c r="EC9" i="16" s="1"/>
  <c r="I12" i="5"/>
  <c r="DE10" i="16"/>
  <c r="N10" i="16" s="1"/>
  <c r="M14" i="5" s="1"/>
  <c r="BT12" i="16"/>
  <c r="BX11" i="16"/>
  <c r="BY11" i="16" s="1"/>
  <c r="CL12" i="16"/>
  <c r="CM12" i="16" s="1"/>
  <c r="CN12" i="16" s="1"/>
  <c r="CF12" i="16"/>
  <c r="CA14" i="16"/>
  <c r="CJ13" i="16"/>
  <c r="CK13" i="16"/>
  <c r="CC13" i="16"/>
  <c r="CE13" i="16" s="1"/>
  <c r="CD13" i="16"/>
  <c r="BP12" i="16"/>
  <c r="BK14" i="16"/>
  <c r="BM13" i="16"/>
  <c r="BS13" i="16"/>
  <c r="BR13" i="16"/>
  <c r="AS14" i="16"/>
  <c r="O14" i="5"/>
  <c r="CX12" i="16"/>
  <c r="DB12" i="16" s="1"/>
  <c r="DC12" i="16" s="1"/>
  <c r="AP13" i="16"/>
  <c r="AT13" i="16" s="1"/>
  <c r="AU13" i="16" s="1"/>
  <c r="BW12" i="16"/>
  <c r="BE12" i="16"/>
  <c r="BI12" i="16" s="1"/>
  <c r="BJ12" i="16" s="1"/>
  <c r="BH13" i="16"/>
  <c r="C15" i="5"/>
  <c r="DZ11" i="16"/>
  <c r="EA11" i="16" s="1"/>
  <c r="BN13" i="16"/>
  <c r="BO13" i="16"/>
  <c r="BV13" i="16"/>
  <c r="BU13" i="16"/>
  <c r="BB12" i="16"/>
  <c r="AX13" i="16"/>
  <c r="BA13" i="16" s="1"/>
  <c r="BC13" i="16"/>
  <c r="BD13" i="16"/>
  <c r="AZ13" i="16"/>
  <c r="CH15" i="16"/>
  <c r="CB15" i="16"/>
  <c r="CG15" i="16"/>
  <c r="A16" i="5"/>
  <c r="B12" i="16"/>
  <c r="B16" i="5" s="1"/>
  <c r="A13" i="16"/>
  <c r="C13" i="16" s="1"/>
  <c r="DY12" i="16"/>
  <c r="DA13" i="16"/>
  <c r="EA10" i="16"/>
  <c r="AY14" i="16"/>
  <c r="AZ14" i="16"/>
  <c r="BF14" i="16"/>
  <c r="BG14" i="16"/>
  <c r="CQ13" i="16"/>
  <c r="CT13" i="16" s="1"/>
  <c r="CU13" i="16" s="1"/>
  <c r="CV13" i="16"/>
  <c r="CW13" i="16"/>
  <c r="D15" i="5"/>
  <c r="E15" i="5"/>
  <c r="AQ15" i="16"/>
  <c r="AR15" i="16"/>
  <c r="AJ15" i="16"/>
  <c r="CS14" i="16"/>
  <c r="CR14" i="16"/>
  <c r="CY14" i="16"/>
  <c r="CZ14" i="16"/>
  <c r="BJ11" i="16"/>
  <c r="AI14" i="16"/>
  <c r="AL14" i="16" s="1"/>
  <c r="AM14" i="16" s="1"/>
  <c r="AN14" i="16"/>
  <c r="AO14" i="16"/>
  <c r="BQ12" i="16"/>
  <c r="AU12" i="16"/>
  <c r="CI14" i="16"/>
  <c r="CF13" i="16" l="1"/>
  <c r="BX12" i="16"/>
  <c r="DD12" i="16" s="1"/>
  <c r="I12" i="16" s="1"/>
  <c r="J12" i="16" s="1"/>
  <c r="O9" i="16"/>
  <c r="L13" i="5" s="1"/>
  <c r="BB13" i="16"/>
  <c r="BP13" i="16"/>
  <c r="I13" i="5"/>
  <c r="DD11" i="16"/>
  <c r="I11" i="16" s="1"/>
  <c r="J11" i="16" s="1"/>
  <c r="M11" i="16" s="1"/>
  <c r="DE11" i="16"/>
  <c r="N11" i="16" s="1"/>
  <c r="CL13" i="16"/>
  <c r="CM13" i="16" s="1"/>
  <c r="CN13" i="16" s="1"/>
  <c r="CA15" i="16"/>
  <c r="CJ14" i="16"/>
  <c r="CD14" i="16"/>
  <c r="CK14" i="16"/>
  <c r="CC14" i="16"/>
  <c r="CE14" i="16" s="1"/>
  <c r="BK15" i="16"/>
  <c r="BR14" i="16"/>
  <c r="BS14" i="16"/>
  <c r="BM14" i="16"/>
  <c r="BT13" i="16"/>
  <c r="CX13" i="16"/>
  <c r="DB13" i="16" s="1"/>
  <c r="DC13" i="16" s="1"/>
  <c r="BE13" i="16"/>
  <c r="BI13" i="16" s="1"/>
  <c r="BJ13" i="16" s="1"/>
  <c r="BW13" i="16"/>
  <c r="O15" i="5"/>
  <c r="AP14" i="16"/>
  <c r="AT14" i="16" s="1"/>
  <c r="AU14" i="16" s="1"/>
  <c r="AJ16" i="16"/>
  <c r="AR16" i="16"/>
  <c r="AQ16" i="16"/>
  <c r="C16" i="5"/>
  <c r="DZ12" i="16"/>
  <c r="EA12" i="16" s="1"/>
  <c r="BN14" i="16"/>
  <c r="BO14" i="16"/>
  <c r="BV14" i="16"/>
  <c r="BU14" i="16"/>
  <c r="AI15" i="16"/>
  <c r="AL15" i="16" s="1"/>
  <c r="AN15" i="16"/>
  <c r="AO15" i="16"/>
  <c r="DA14" i="16"/>
  <c r="AY15" i="16"/>
  <c r="BF15" i="16"/>
  <c r="BG15" i="16"/>
  <c r="A17" i="5"/>
  <c r="B13" i="16"/>
  <c r="B17" i="5" s="1"/>
  <c r="DY13" i="16"/>
  <c r="A14" i="16"/>
  <c r="C14" i="16" s="1"/>
  <c r="CI15" i="16"/>
  <c r="J10" i="16"/>
  <c r="M10" i="16" s="1"/>
  <c r="F14" i="5"/>
  <c r="CY15" i="16"/>
  <c r="CR15" i="16"/>
  <c r="CZ15" i="16"/>
  <c r="AK15" i="16"/>
  <c r="AS15" i="16"/>
  <c r="CS15" i="16"/>
  <c r="CQ14" i="16"/>
  <c r="CT14" i="16" s="1"/>
  <c r="CU14" i="16" s="1"/>
  <c r="CV14" i="16"/>
  <c r="CW14" i="16"/>
  <c r="BH14" i="16"/>
  <c r="AX14" i="16"/>
  <c r="BA14" i="16" s="1"/>
  <c r="BB14" i="16" s="1"/>
  <c r="BC14" i="16"/>
  <c r="BD14" i="16"/>
  <c r="BQ13" i="16"/>
  <c r="E16" i="5"/>
  <c r="D16" i="5"/>
  <c r="CG16" i="16"/>
  <c r="CH16" i="16"/>
  <c r="CB16" i="16"/>
  <c r="BY12" i="16" l="1"/>
  <c r="DE12" i="16" s="1"/>
  <c r="N12" i="16" s="1"/>
  <c r="M16" i="5" s="1"/>
  <c r="CF14" i="16"/>
  <c r="K11" i="16"/>
  <c r="F15" i="5"/>
  <c r="G15" i="5"/>
  <c r="M15" i="5"/>
  <c r="CA16" i="16"/>
  <c r="CK15" i="16"/>
  <c r="CC15" i="16"/>
  <c r="CE15" i="16" s="1"/>
  <c r="CJ15" i="16"/>
  <c r="CD15" i="16"/>
  <c r="CL14" i="16"/>
  <c r="CM14" i="16" s="1"/>
  <c r="CN14" i="16" s="1"/>
  <c r="BP14" i="16"/>
  <c r="BX13" i="16"/>
  <c r="BY13" i="16" s="1"/>
  <c r="DE13" i="16" s="1"/>
  <c r="N13" i="16" s="1"/>
  <c r="M17" i="5" s="1"/>
  <c r="BT14" i="16"/>
  <c r="BK16" i="16"/>
  <c r="BM15" i="16"/>
  <c r="BR15" i="16"/>
  <c r="BS15" i="16"/>
  <c r="K12" i="16"/>
  <c r="M12" i="16"/>
  <c r="O10" i="16"/>
  <c r="L14" i="5" s="1"/>
  <c r="N14" i="5"/>
  <c r="O11" i="16"/>
  <c r="L15" i="5" s="1"/>
  <c r="N15" i="5"/>
  <c r="AM15" i="16"/>
  <c r="O16" i="5"/>
  <c r="AS16" i="16"/>
  <c r="F16" i="5"/>
  <c r="G16" i="5"/>
  <c r="CS16" i="16"/>
  <c r="CR16" i="16"/>
  <c r="CY16" i="16"/>
  <c r="CZ16" i="16"/>
  <c r="C17" i="5"/>
  <c r="DZ13" i="16"/>
  <c r="EA13" i="16" s="1"/>
  <c r="AY16" i="16"/>
  <c r="BG16" i="16"/>
  <c r="BF16" i="16"/>
  <c r="CI16" i="16"/>
  <c r="BE14" i="16"/>
  <c r="BI14" i="16" s="1"/>
  <c r="CX14" i="16"/>
  <c r="DB14" i="16" s="1"/>
  <c r="DC14" i="16" s="1"/>
  <c r="AP15" i="16"/>
  <c r="AT15" i="16" s="1"/>
  <c r="BO15" i="16"/>
  <c r="BN15" i="16"/>
  <c r="BP15" i="16" s="1"/>
  <c r="BU15" i="16"/>
  <c r="BV15" i="16"/>
  <c r="BC15" i="16"/>
  <c r="AX15" i="16"/>
  <c r="BA15" i="16" s="1"/>
  <c r="BD15" i="16"/>
  <c r="DA15" i="16"/>
  <c r="A18" i="5"/>
  <c r="B14" i="16"/>
  <c r="B18" i="5" s="1"/>
  <c r="A15" i="16"/>
  <c r="C15" i="16" s="1"/>
  <c r="DY14" i="16"/>
  <c r="AZ15" i="16"/>
  <c r="AO16" i="16"/>
  <c r="AK17" i="16"/>
  <c r="AI16" i="16"/>
  <c r="AL16" i="16" s="1"/>
  <c r="AN16" i="16"/>
  <c r="BQ14" i="16"/>
  <c r="AK16" i="16"/>
  <c r="CB17" i="16"/>
  <c r="CH17" i="16"/>
  <c r="CG17" i="16"/>
  <c r="CQ15" i="16"/>
  <c r="CT15" i="16" s="1"/>
  <c r="CU15" i="16" s="1"/>
  <c r="CV15" i="16"/>
  <c r="CW15" i="16"/>
  <c r="K10" i="16"/>
  <c r="L10" i="16" s="1"/>
  <c r="G14" i="5"/>
  <c r="E17" i="5"/>
  <c r="D17" i="5"/>
  <c r="BH15" i="16"/>
  <c r="BW14" i="16"/>
  <c r="AQ17" i="16"/>
  <c r="AJ17" i="16"/>
  <c r="AR17" i="16"/>
  <c r="L11" i="16" l="1"/>
  <c r="EC11" i="16" s="1"/>
  <c r="L12" i="16"/>
  <c r="I16" i="5" s="1"/>
  <c r="BX14" i="16"/>
  <c r="BY14" i="16" s="1"/>
  <c r="EC10" i="16"/>
  <c r="I14" i="5"/>
  <c r="DD13" i="16"/>
  <c r="I13" i="16" s="1"/>
  <c r="J13" i="16" s="1"/>
  <c r="M13" i="16" s="1"/>
  <c r="CF15" i="16"/>
  <c r="CA17" i="16"/>
  <c r="CJ16" i="16"/>
  <c r="CK16" i="16"/>
  <c r="CC16" i="16"/>
  <c r="CE16" i="16" s="1"/>
  <c r="CD16" i="16"/>
  <c r="CL15" i="16"/>
  <c r="CM15" i="16" s="1"/>
  <c r="CN15" i="16" s="1"/>
  <c r="BK17" i="16"/>
  <c r="BM16" i="16"/>
  <c r="BR16" i="16"/>
  <c r="BS16" i="16"/>
  <c r="BT15" i="16"/>
  <c r="AM16" i="16"/>
  <c r="O12" i="16"/>
  <c r="L16" i="5" s="1"/>
  <c r="N16" i="5"/>
  <c r="O17" i="5"/>
  <c r="CX15" i="16"/>
  <c r="DB15" i="16" s="1"/>
  <c r="DC15" i="16" s="1"/>
  <c r="AS17" i="16"/>
  <c r="BH16" i="16"/>
  <c r="BW15" i="16"/>
  <c r="BU16" i="16"/>
  <c r="BN16" i="16"/>
  <c r="BV16" i="16"/>
  <c r="BO16" i="16"/>
  <c r="C18" i="5"/>
  <c r="DZ14" i="16"/>
  <c r="EA14" i="16" s="1"/>
  <c r="AX16" i="16"/>
  <c r="BA16" i="16" s="1"/>
  <c r="BC16" i="16"/>
  <c r="BD16" i="16"/>
  <c r="BE15" i="16"/>
  <c r="BI15" i="16" s="1"/>
  <c r="BJ15" i="16" s="1"/>
  <c r="BQ15" i="16"/>
  <c r="AZ16" i="16"/>
  <c r="A19" i="5"/>
  <c r="DY15" i="16"/>
  <c r="A16" i="16"/>
  <c r="C16" i="16" s="1"/>
  <c r="B15" i="16"/>
  <c r="B19" i="5" s="1"/>
  <c r="D18" i="5"/>
  <c r="E18" i="5"/>
  <c r="CW16" i="16"/>
  <c r="CV16" i="16"/>
  <c r="CQ16" i="16"/>
  <c r="CT16" i="16" s="1"/>
  <c r="CU16" i="16" s="1"/>
  <c r="CB18" i="16"/>
  <c r="CG18" i="16"/>
  <c r="CH18" i="16"/>
  <c r="AP16" i="16"/>
  <c r="AT16" i="16" s="1"/>
  <c r="BB15" i="16"/>
  <c r="BJ14" i="16"/>
  <c r="AY17" i="16"/>
  <c r="BG17" i="16"/>
  <c r="BF17" i="16"/>
  <c r="DA16" i="16"/>
  <c r="AQ18" i="16"/>
  <c r="AR18" i="16"/>
  <c r="AJ18" i="16"/>
  <c r="CI17" i="16"/>
  <c r="AI17" i="16"/>
  <c r="AL17" i="16" s="1"/>
  <c r="AM17" i="16" s="1"/>
  <c r="AO17" i="16"/>
  <c r="AN17" i="16"/>
  <c r="AU15" i="16"/>
  <c r="CY17" i="16"/>
  <c r="CR17" i="16"/>
  <c r="CZ17" i="16"/>
  <c r="CS17" i="16"/>
  <c r="BB16" i="16" l="1"/>
  <c r="BP16" i="16"/>
  <c r="DE14" i="16"/>
  <c r="N14" i="16" s="1"/>
  <c r="M18" i="5" s="1"/>
  <c r="CF16" i="16"/>
  <c r="EC12" i="16"/>
  <c r="I15" i="5"/>
  <c r="DD14" i="16"/>
  <c r="I14" i="16" s="1"/>
  <c r="BX15" i="16"/>
  <c r="BY15" i="16" s="1"/>
  <c r="DE15" i="16" s="1"/>
  <c r="N15" i="16" s="1"/>
  <c r="M19" i="5" s="1"/>
  <c r="F17" i="5"/>
  <c r="CL16" i="16"/>
  <c r="CM16" i="16" s="1"/>
  <c r="CN16" i="16" s="1"/>
  <c r="CA18" i="16"/>
  <c r="CC17" i="16"/>
  <c r="CE17" i="16" s="1"/>
  <c r="CJ17" i="16"/>
  <c r="CD17" i="16"/>
  <c r="CK17" i="16"/>
  <c r="BT16" i="16"/>
  <c r="BK18" i="16"/>
  <c r="BR17" i="16"/>
  <c r="BM17" i="16"/>
  <c r="BS17" i="16"/>
  <c r="O13" i="16"/>
  <c r="L17" i="5" s="1"/>
  <c r="N17" i="5"/>
  <c r="BW16" i="16"/>
  <c r="AP17" i="16"/>
  <c r="AT17" i="16" s="1"/>
  <c r="AU17" i="16" s="1"/>
  <c r="BE16" i="16"/>
  <c r="BI16" i="16" s="1"/>
  <c r="BJ16" i="16" s="1"/>
  <c r="CI18" i="16"/>
  <c r="CX16" i="16"/>
  <c r="DB16" i="16" s="1"/>
  <c r="DC16" i="16" s="1"/>
  <c r="O18" i="5"/>
  <c r="CR18" i="16"/>
  <c r="CZ18" i="16"/>
  <c r="CY18" i="16"/>
  <c r="A20" i="5"/>
  <c r="DY16" i="16"/>
  <c r="A17" i="16"/>
  <c r="C17" i="16" s="1"/>
  <c r="B16" i="16"/>
  <c r="B20" i="5" s="1"/>
  <c r="AS18" i="16"/>
  <c r="BH17" i="16"/>
  <c r="C19" i="5"/>
  <c r="DZ15" i="16"/>
  <c r="EA15" i="16" s="1"/>
  <c r="BC17" i="16"/>
  <c r="BD17" i="16"/>
  <c r="AX17" i="16"/>
  <c r="BA17" i="16" s="1"/>
  <c r="BQ16" i="16"/>
  <c r="AJ19" i="16"/>
  <c r="AR19" i="16"/>
  <c r="AQ19" i="16"/>
  <c r="AZ17" i="16"/>
  <c r="CQ17" i="16"/>
  <c r="CT17" i="16" s="1"/>
  <c r="CU17" i="16" s="1"/>
  <c r="CW17" i="16"/>
  <c r="CV17" i="16"/>
  <c r="D19" i="5"/>
  <c r="E19" i="5"/>
  <c r="BO17" i="16"/>
  <c r="BU17" i="16"/>
  <c r="BN17" i="16"/>
  <c r="BV17" i="16"/>
  <c r="CB19" i="16"/>
  <c r="CH19" i="16"/>
  <c r="CG19" i="16"/>
  <c r="AU16" i="16"/>
  <c r="DA17" i="16"/>
  <c r="AI18" i="16"/>
  <c r="AL18" i="16" s="1"/>
  <c r="AN18" i="16"/>
  <c r="AO18" i="16"/>
  <c r="AK18" i="16"/>
  <c r="BG18" i="16"/>
  <c r="AY18" i="16"/>
  <c r="AZ18" i="16"/>
  <c r="BF18" i="16"/>
  <c r="K13" i="16"/>
  <c r="L13" i="16" s="1"/>
  <c r="G17" i="5"/>
  <c r="CF17" i="16" l="1"/>
  <c r="DD15" i="16"/>
  <c r="I15" i="16" s="1"/>
  <c r="J15" i="16" s="1"/>
  <c r="G19" i="5" s="1"/>
  <c r="BX16" i="16"/>
  <c r="BY16" i="16" s="1"/>
  <c r="DE16" i="16" s="1"/>
  <c r="N16" i="16" s="1"/>
  <c r="M20" i="5" s="1"/>
  <c r="CA19" i="16"/>
  <c r="CK18" i="16"/>
  <c r="CC18" i="16"/>
  <c r="CE18" i="16" s="1"/>
  <c r="CJ18" i="16"/>
  <c r="CD18" i="16"/>
  <c r="CL17" i="16"/>
  <c r="CM17" i="16" s="1"/>
  <c r="CN17" i="16" s="1"/>
  <c r="BT17" i="16"/>
  <c r="BP17" i="16"/>
  <c r="BK19" i="16"/>
  <c r="BS18" i="16"/>
  <c r="BR18" i="16"/>
  <c r="BM18" i="16"/>
  <c r="BB17" i="16"/>
  <c r="I17" i="5"/>
  <c r="EC13" i="16"/>
  <c r="AM18" i="16"/>
  <c r="O19" i="5"/>
  <c r="BE17" i="16"/>
  <c r="BI17" i="16" s="1"/>
  <c r="BJ17" i="16" s="1"/>
  <c r="F19" i="5"/>
  <c r="BH18" i="16"/>
  <c r="CB20" i="16"/>
  <c r="CH20" i="16"/>
  <c r="CG20" i="16"/>
  <c r="C20" i="5"/>
  <c r="DZ16" i="16"/>
  <c r="EA16" i="16" s="1"/>
  <c r="AS19" i="16"/>
  <c r="E20" i="5"/>
  <c r="D20" i="5"/>
  <c r="CR19" i="16"/>
  <c r="CY19" i="16"/>
  <c r="CZ19" i="16"/>
  <c r="AP18" i="16"/>
  <c r="AT18" i="16" s="1"/>
  <c r="BW17" i="16"/>
  <c r="CX17" i="16"/>
  <c r="DB17" i="16" s="1"/>
  <c r="DC17" i="16" s="1"/>
  <c r="AJ20" i="16"/>
  <c r="AR20" i="16"/>
  <c r="AQ20" i="16"/>
  <c r="AX18" i="16"/>
  <c r="BA18" i="16" s="1"/>
  <c r="BB18" i="16" s="1"/>
  <c r="BC18" i="16"/>
  <c r="BD18" i="16"/>
  <c r="A21" i="5"/>
  <c r="B17" i="16"/>
  <c r="B21" i="5" s="1"/>
  <c r="DY17" i="16"/>
  <c r="A18" i="16"/>
  <c r="C18" i="16" s="1"/>
  <c r="AI19" i="16"/>
  <c r="AL19" i="16" s="1"/>
  <c r="AN19" i="16"/>
  <c r="AO19" i="16"/>
  <c r="CQ18" i="16"/>
  <c r="CT18" i="16" s="1"/>
  <c r="CV18" i="16"/>
  <c r="CW18" i="16"/>
  <c r="BN18" i="16"/>
  <c r="BO18" i="16"/>
  <c r="BV18" i="16"/>
  <c r="BU18" i="16"/>
  <c r="AZ19" i="16"/>
  <c r="AY19" i="16"/>
  <c r="BG19" i="16"/>
  <c r="BF19" i="16"/>
  <c r="CI19" i="16"/>
  <c r="BQ17" i="16"/>
  <c r="J14" i="16"/>
  <c r="M14" i="16" s="1"/>
  <c r="F18" i="5"/>
  <c r="AK19" i="16"/>
  <c r="DA18" i="16"/>
  <c r="CS18" i="16"/>
  <c r="M15" i="16" l="1"/>
  <c r="O15" i="16" s="1"/>
  <c r="L19" i="5" s="1"/>
  <c r="K15" i="16"/>
  <c r="L15" i="16" s="1"/>
  <c r="EC15" i="16" s="1"/>
  <c r="BP18" i="16"/>
  <c r="BQ18" i="16" s="1"/>
  <c r="DD16" i="16"/>
  <c r="I16" i="16" s="1"/>
  <c r="J16" i="16" s="1"/>
  <c r="K16" i="16" s="1"/>
  <c r="BX17" i="16"/>
  <c r="BY17" i="16" s="1"/>
  <c r="DE17" i="16" s="1"/>
  <c r="N17" i="16" s="1"/>
  <c r="M21" i="5" s="1"/>
  <c r="CA20" i="16"/>
  <c r="CJ19" i="16"/>
  <c r="CD19" i="16"/>
  <c r="CC19" i="16"/>
  <c r="CE19" i="16" s="1"/>
  <c r="CK19" i="16"/>
  <c r="CF18" i="16"/>
  <c r="CL18" i="16"/>
  <c r="CM18" i="16" s="1"/>
  <c r="CN18" i="16" s="1"/>
  <c r="BK20" i="16"/>
  <c r="BM19" i="16"/>
  <c r="BR19" i="16"/>
  <c r="BS19" i="16"/>
  <c r="BT18" i="16"/>
  <c r="CU18" i="16"/>
  <c r="O14" i="16"/>
  <c r="L18" i="5" s="1"/>
  <c r="N18" i="5"/>
  <c r="AM19" i="16"/>
  <c r="BH19" i="16"/>
  <c r="CX18" i="16"/>
  <c r="DB18" i="16" s="1"/>
  <c r="DC18" i="16" s="1"/>
  <c r="AP19" i="16"/>
  <c r="AT19" i="16" s="1"/>
  <c r="AU19" i="16" s="1"/>
  <c r="O20" i="5"/>
  <c r="AS20" i="16"/>
  <c r="DA19" i="16"/>
  <c r="CI20" i="16"/>
  <c r="AU18" i="16"/>
  <c r="CR20" i="16"/>
  <c r="CZ20" i="16"/>
  <c r="CY20" i="16"/>
  <c r="AI20" i="16"/>
  <c r="AL20" i="16" s="1"/>
  <c r="AO20" i="16"/>
  <c r="AN20" i="16"/>
  <c r="BE18" i="16"/>
  <c r="BI18" i="16" s="1"/>
  <c r="BJ18" i="16" s="1"/>
  <c r="AQ21" i="16"/>
  <c r="AJ21" i="16"/>
  <c r="AR21" i="16"/>
  <c r="K14" i="16"/>
  <c r="L14" i="16" s="1"/>
  <c r="G18" i="5"/>
  <c r="AY20" i="16"/>
  <c r="BG20" i="16"/>
  <c r="BF20" i="16"/>
  <c r="BW18" i="16"/>
  <c r="BN19" i="16"/>
  <c r="BV19" i="16"/>
  <c r="BO19" i="16"/>
  <c r="BU19" i="16"/>
  <c r="CQ19" i="16"/>
  <c r="CT19" i="16" s="1"/>
  <c r="CV19" i="16"/>
  <c r="CW19" i="16"/>
  <c r="A22" i="5"/>
  <c r="B18" i="16"/>
  <c r="B22" i="5" s="1"/>
  <c r="DY18" i="16"/>
  <c r="A19" i="16"/>
  <c r="C19" i="16" s="1"/>
  <c r="E21" i="5"/>
  <c r="D21" i="5"/>
  <c r="AK20" i="16"/>
  <c r="CS19" i="16"/>
  <c r="C21" i="5"/>
  <c r="DZ17" i="16"/>
  <c r="EA17" i="16" s="1"/>
  <c r="BD19" i="16"/>
  <c r="AZ20" i="16"/>
  <c r="AX19" i="16"/>
  <c r="BA19" i="16" s="1"/>
  <c r="BB19" i="16" s="1"/>
  <c r="BC19" i="16"/>
  <c r="CB21" i="16"/>
  <c r="CG21" i="16"/>
  <c r="CH21" i="16"/>
  <c r="BP19" i="16" l="1"/>
  <c r="N19" i="5"/>
  <c r="L16" i="16"/>
  <c r="I20" i="5" s="1"/>
  <c r="CF19" i="16"/>
  <c r="I19" i="5"/>
  <c r="F20" i="5"/>
  <c r="G20" i="5"/>
  <c r="M16" i="16"/>
  <c r="O16" i="16" s="1"/>
  <c r="L20" i="5" s="1"/>
  <c r="DD17" i="16"/>
  <c r="I17" i="16" s="1"/>
  <c r="J17" i="16" s="1"/>
  <c r="K17" i="16" s="1"/>
  <c r="CL19" i="16"/>
  <c r="CM19" i="16" s="1"/>
  <c r="CN19" i="16" s="1"/>
  <c r="BX18" i="16"/>
  <c r="BY18" i="16" s="1"/>
  <c r="DE18" i="16" s="1"/>
  <c r="N18" i="16" s="1"/>
  <c r="M22" i="5" s="1"/>
  <c r="CA21" i="16"/>
  <c r="CC20" i="16"/>
  <c r="CE20" i="16" s="1"/>
  <c r="CJ20" i="16"/>
  <c r="CK20" i="16"/>
  <c r="CD20" i="16"/>
  <c r="BT19" i="16"/>
  <c r="BK21" i="16"/>
  <c r="BS20" i="16"/>
  <c r="BM20" i="16"/>
  <c r="BR20" i="16"/>
  <c r="AM20" i="16"/>
  <c r="I18" i="5"/>
  <c r="EC14" i="16"/>
  <c r="O21" i="5"/>
  <c r="BH20" i="16"/>
  <c r="CB22" i="16"/>
  <c r="CG22" i="16"/>
  <c r="CH22" i="16"/>
  <c r="AI21" i="16"/>
  <c r="AL21" i="16" s="1"/>
  <c r="AN21" i="16"/>
  <c r="AO21" i="16"/>
  <c r="BE19" i="16"/>
  <c r="BI19" i="16" s="1"/>
  <c r="CU19" i="16"/>
  <c r="C22" i="5"/>
  <c r="DZ18" i="16"/>
  <c r="EA18" i="16" s="1"/>
  <c r="CX19" i="16"/>
  <c r="DB19" i="16" s="1"/>
  <c r="DC19" i="16" s="1"/>
  <c r="BW19" i="16"/>
  <c r="BN20" i="16"/>
  <c r="BO20" i="16"/>
  <c r="BV20" i="16"/>
  <c r="BU20" i="16"/>
  <c r="AY21" i="16"/>
  <c r="AZ21" i="16"/>
  <c r="BF21" i="16"/>
  <c r="BG21" i="16"/>
  <c r="AS21" i="16"/>
  <c r="DA20" i="16"/>
  <c r="CY21" i="16"/>
  <c r="CR21" i="16"/>
  <c r="CZ21" i="16"/>
  <c r="AK22" i="16"/>
  <c r="AQ22" i="16"/>
  <c r="AR22" i="16"/>
  <c r="AJ22" i="16"/>
  <c r="CI21" i="16"/>
  <c r="BD20" i="16"/>
  <c r="AX20" i="16"/>
  <c r="BA20" i="16" s="1"/>
  <c r="BB20" i="16" s="1"/>
  <c r="BC20" i="16"/>
  <c r="A23" i="5"/>
  <c r="B19" i="16"/>
  <c r="B23" i="5" s="1"/>
  <c r="DY19" i="16"/>
  <c r="A20" i="16"/>
  <c r="C20" i="16" s="1"/>
  <c r="D22" i="5"/>
  <c r="E22" i="5"/>
  <c r="CW20" i="16"/>
  <c r="CQ20" i="16"/>
  <c r="CT20" i="16" s="1"/>
  <c r="CV20" i="16"/>
  <c r="BQ19" i="16"/>
  <c r="AK21" i="16"/>
  <c r="AP20" i="16"/>
  <c r="AT20" i="16" s="1"/>
  <c r="CS20" i="16"/>
  <c r="EC16" i="16" l="1"/>
  <c r="L17" i="16"/>
  <c r="EC17" i="16" s="1"/>
  <c r="N20" i="5"/>
  <c r="F21" i="5"/>
  <c r="DD18" i="16"/>
  <c r="I18" i="16" s="1"/>
  <c r="J18" i="16" s="1"/>
  <c r="M18" i="16" s="1"/>
  <c r="N22" i="5" s="1"/>
  <c r="G21" i="5"/>
  <c r="M17" i="16"/>
  <c r="N21" i="5" s="1"/>
  <c r="BX19" i="16"/>
  <c r="BY19" i="16" s="1"/>
  <c r="CF20" i="16"/>
  <c r="CA22" i="16"/>
  <c r="CD21" i="16"/>
  <c r="CC21" i="16"/>
  <c r="CE21" i="16" s="1"/>
  <c r="CF21" i="16" s="1"/>
  <c r="CJ21" i="16"/>
  <c r="CK21" i="16"/>
  <c r="CL20" i="16"/>
  <c r="CM20" i="16" s="1"/>
  <c r="CN20" i="16" s="1"/>
  <c r="BP20" i="16"/>
  <c r="BQ20" i="16" s="1"/>
  <c r="BK22" i="16"/>
  <c r="BR21" i="16"/>
  <c r="BM21" i="16"/>
  <c r="BS21" i="16"/>
  <c r="BT20" i="16"/>
  <c r="AM21" i="16"/>
  <c r="CU20" i="16"/>
  <c r="CX20" i="16"/>
  <c r="DB20" i="16" s="1"/>
  <c r="DC20" i="16" s="1"/>
  <c r="BH21" i="16"/>
  <c r="O22" i="5"/>
  <c r="AU20" i="16"/>
  <c r="A24" i="5"/>
  <c r="B20" i="16"/>
  <c r="B24" i="5" s="1"/>
  <c r="A21" i="16"/>
  <c r="C21" i="16" s="1"/>
  <c r="DY20" i="16"/>
  <c r="CQ21" i="16"/>
  <c r="CT21" i="16" s="1"/>
  <c r="CV21" i="16"/>
  <c r="CW21" i="16"/>
  <c r="BE20" i="16"/>
  <c r="BI20" i="16" s="1"/>
  <c r="BJ20" i="16" s="1"/>
  <c r="CR22" i="16"/>
  <c r="CS22" i="16"/>
  <c r="CZ22" i="16"/>
  <c r="CY22" i="16"/>
  <c r="BO21" i="16"/>
  <c r="BU21" i="16"/>
  <c r="BN21" i="16"/>
  <c r="BV21" i="16"/>
  <c r="AP21" i="16"/>
  <c r="AT21" i="16" s="1"/>
  <c r="CB23" i="16"/>
  <c r="CH23" i="16"/>
  <c r="CG23" i="16"/>
  <c r="BC21" i="16"/>
  <c r="AZ22" i="16"/>
  <c r="AX21" i="16"/>
  <c r="BA21" i="16" s="1"/>
  <c r="BB21" i="16" s="1"/>
  <c r="BD21" i="16"/>
  <c r="AS22" i="16"/>
  <c r="DA21" i="16"/>
  <c r="AN22" i="16"/>
  <c r="AI22" i="16"/>
  <c r="AL22" i="16" s="1"/>
  <c r="AM22" i="16" s="1"/>
  <c r="AO22" i="16"/>
  <c r="CI22" i="16"/>
  <c r="D23" i="5"/>
  <c r="E23" i="5"/>
  <c r="C23" i="5"/>
  <c r="DZ19" i="16"/>
  <c r="EA19" i="16" s="1"/>
  <c r="AJ23" i="16"/>
  <c r="AQ23" i="16"/>
  <c r="AR23" i="16"/>
  <c r="CS21" i="16"/>
  <c r="BG22" i="16"/>
  <c r="AY22" i="16"/>
  <c r="BF22" i="16"/>
  <c r="BW20" i="16"/>
  <c r="BJ19" i="16"/>
  <c r="BP21" i="16" l="1"/>
  <c r="BQ21" i="16" s="1"/>
  <c r="I21" i="5"/>
  <c r="G22" i="5"/>
  <c r="F22" i="5"/>
  <c r="O18" i="16"/>
  <c r="L22" i="5" s="1"/>
  <c r="K18" i="16"/>
  <c r="O17" i="16"/>
  <c r="L21" i="5" s="1"/>
  <c r="DD19" i="16"/>
  <c r="I19" i="16" s="1"/>
  <c r="J19" i="16" s="1"/>
  <c r="K19" i="16" s="1"/>
  <c r="DE19" i="16"/>
  <c r="N19" i="16" s="1"/>
  <c r="M23" i="5" s="1"/>
  <c r="BX20" i="16"/>
  <c r="BY20" i="16" s="1"/>
  <c r="DE20" i="16" s="1"/>
  <c r="N20" i="16" s="1"/>
  <c r="M24" i="5" s="1"/>
  <c r="BT21" i="16"/>
  <c r="CA23" i="16"/>
  <c r="CC22" i="16"/>
  <c r="CE22" i="16" s="1"/>
  <c r="CJ22" i="16"/>
  <c r="CK22" i="16"/>
  <c r="CD22" i="16"/>
  <c r="CL21" i="16"/>
  <c r="CM21" i="16" s="1"/>
  <c r="CN21" i="16" s="1"/>
  <c r="BK23" i="16"/>
  <c r="BS22" i="16"/>
  <c r="BR22" i="16"/>
  <c r="BM22" i="16"/>
  <c r="O23" i="5"/>
  <c r="DA22" i="16"/>
  <c r="BH22" i="16"/>
  <c r="AS23" i="16"/>
  <c r="AY23" i="16"/>
  <c r="BG23" i="16"/>
  <c r="BF23" i="16"/>
  <c r="CB24" i="16"/>
  <c r="CH24" i="16"/>
  <c r="CG24" i="16"/>
  <c r="AX22" i="16"/>
  <c r="BA22" i="16" s="1"/>
  <c r="BB22" i="16" s="1"/>
  <c r="AZ23" i="16"/>
  <c r="BD22" i="16"/>
  <c r="BC22" i="16"/>
  <c r="CW22" i="16"/>
  <c r="CQ22" i="16"/>
  <c r="CT22" i="16" s="1"/>
  <c r="CU22" i="16" s="1"/>
  <c r="CV22" i="16"/>
  <c r="C24" i="5"/>
  <c r="DZ20" i="16"/>
  <c r="EA20" i="16" s="1"/>
  <c r="E24" i="5"/>
  <c r="D24" i="5"/>
  <c r="AI23" i="16"/>
  <c r="AL23" i="16" s="1"/>
  <c r="AN23" i="16"/>
  <c r="AO23" i="16"/>
  <c r="CU21" i="16"/>
  <c r="AJ24" i="16"/>
  <c r="AR24" i="16"/>
  <c r="AQ24" i="16"/>
  <c r="AK24" i="16"/>
  <c r="CS23" i="16"/>
  <c r="CZ23" i="16"/>
  <c r="CR23" i="16"/>
  <c r="CY23" i="16"/>
  <c r="BN22" i="16"/>
  <c r="BU22" i="16"/>
  <c r="BO22" i="16"/>
  <c r="BV22" i="16"/>
  <c r="AK23" i="16"/>
  <c r="AP22" i="16"/>
  <c r="AT22" i="16" s="1"/>
  <c r="BE21" i="16"/>
  <c r="BI21" i="16" s="1"/>
  <c r="BJ21" i="16" s="1"/>
  <c r="CI23" i="16"/>
  <c r="AU21" i="16"/>
  <c r="BW21" i="16"/>
  <c r="CX21" i="16"/>
  <c r="DB21" i="16" s="1"/>
  <c r="DC21" i="16" s="1"/>
  <c r="A25" i="5"/>
  <c r="A22" i="16"/>
  <c r="C22" i="16" s="1"/>
  <c r="B21" i="16"/>
  <c r="B25" i="5" s="1"/>
  <c r="DY21" i="16"/>
  <c r="BP22" i="16" l="1"/>
  <c r="L19" i="16"/>
  <c r="I23" i="5" s="1"/>
  <c r="L18" i="16"/>
  <c r="EC18" i="16" s="1"/>
  <c r="BX21" i="16"/>
  <c r="BY21" i="16" s="1"/>
  <c r="DE21" i="16" s="1"/>
  <c r="N21" i="16" s="1"/>
  <c r="M25" i="5" s="1"/>
  <c r="DD20" i="16"/>
  <c r="I20" i="16" s="1"/>
  <c r="J20" i="16" s="1"/>
  <c r="M20" i="16" s="1"/>
  <c r="G23" i="5"/>
  <c r="F23" i="5"/>
  <c r="M19" i="16"/>
  <c r="O19" i="16" s="1"/>
  <c r="L23" i="5" s="1"/>
  <c r="BT22" i="16"/>
  <c r="CL22" i="16"/>
  <c r="CM22" i="16" s="1"/>
  <c r="CN22" i="16" s="1"/>
  <c r="CF22" i="16"/>
  <c r="CA24" i="16"/>
  <c r="CJ23" i="16"/>
  <c r="CC23" i="16"/>
  <c r="CE23" i="16" s="1"/>
  <c r="CK23" i="16"/>
  <c r="CD23" i="16"/>
  <c r="BK24" i="16"/>
  <c r="BM23" i="16"/>
  <c r="BR23" i="16"/>
  <c r="BS23" i="16"/>
  <c r="BE22" i="16"/>
  <c r="BI22" i="16" s="1"/>
  <c r="BJ22" i="16" s="1"/>
  <c r="DA23" i="16"/>
  <c r="O24" i="5"/>
  <c r="AM23" i="16"/>
  <c r="BO23" i="16"/>
  <c r="BN23" i="16"/>
  <c r="BV23" i="16"/>
  <c r="BU23" i="16"/>
  <c r="CR24" i="16"/>
  <c r="CZ24" i="16"/>
  <c r="CY24" i="16"/>
  <c r="C25" i="5"/>
  <c r="DZ21" i="16"/>
  <c r="EA21" i="16" s="1"/>
  <c r="BQ22" i="16"/>
  <c r="AS24" i="16"/>
  <c r="AP23" i="16"/>
  <c r="AT23" i="16" s="1"/>
  <c r="CQ23" i="16"/>
  <c r="CT23" i="16" s="1"/>
  <c r="CU23" i="16" s="1"/>
  <c r="CV23" i="16"/>
  <c r="CW23" i="16"/>
  <c r="AZ24" i="16"/>
  <c r="BD23" i="16"/>
  <c r="AX23" i="16"/>
  <c r="BA23" i="16" s="1"/>
  <c r="BB23" i="16" s="1"/>
  <c r="BC23" i="16"/>
  <c r="CI24" i="16"/>
  <c r="BG24" i="16"/>
  <c r="BF24" i="16"/>
  <c r="AY24" i="16"/>
  <c r="CB25" i="16"/>
  <c r="CG25" i="16"/>
  <c r="CH25" i="16"/>
  <c r="A26" i="5"/>
  <c r="A23" i="16"/>
  <c r="C23" i="16" s="1"/>
  <c r="DY22" i="16"/>
  <c r="B22" i="16"/>
  <c r="B26" i="5" s="1"/>
  <c r="E25" i="5"/>
  <c r="D25" i="5"/>
  <c r="AU22" i="16"/>
  <c r="BW22" i="16"/>
  <c r="AJ25" i="16"/>
  <c r="AQ25" i="16"/>
  <c r="AR25" i="16"/>
  <c r="AI24" i="16"/>
  <c r="AL24" i="16" s="1"/>
  <c r="AM24" i="16" s="1"/>
  <c r="AO24" i="16"/>
  <c r="AK25" i="16"/>
  <c r="AN24" i="16"/>
  <c r="CX22" i="16"/>
  <c r="DB22" i="16" s="1"/>
  <c r="DC22" i="16" s="1"/>
  <c r="BH23" i="16"/>
  <c r="DD21" i="16" l="1"/>
  <c r="I21" i="16" s="1"/>
  <c r="J21" i="16" s="1"/>
  <c r="K21" i="16" s="1"/>
  <c r="BP23" i="16"/>
  <c r="BQ23" i="16" s="1"/>
  <c r="EC19" i="16"/>
  <c r="I22" i="5"/>
  <c r="F24" i="5"/>
  <c r="K20" i="16"/>
  <c r="G24" i="5"/>
  <c r="N23" i="5"/>
  <c r="BX22" i="16"/>
  <c r="BY22" i="16" s="1"/>
  <c r="DE22" i="16" s="1"/>
  <c r="N22" i="16" s="1"/>
  <c r="M26" i="5" s="1"/>
  <c r="CL23" i="16"/>
  <c r="CM23" i="16" s="1"/>
  <c r="CN23" i="16" s="1"/>
  <c r="CF23" i="16"/>
  <c r="CA25" i="16"/>
  <c r="CC24" i="16"/>
  <c r="CE24" i="16" s="1"/>
  <c r="CJ24" i="16"/>
  <c r="CK24" i="16"/>
  <c r="CD24" i="16"/>
  <c r="BT23" i="16"/>
  <c r="BK25" i="16"/>
  <c r="BS24" i="16"/>
  <c r="BM24" i="16"/>
  <c r="BR24" i="16"/>
  <c r="O20" i="16"/>
  <c r="L24" i="5" s="1"/>
  <c r="N24" i="5"/>
  <c r="BW23" i="16"/>
  <c r="AS25" i="16"/>
  <c r="CX23" i="16"/>
  <c r="DB23" i="16" s="1"/>
  <c r="DC23" i="16" s="1"/>
  <c r="DA24" i="16"/>
  <c r="AP24" i="16"/>
  <c r="AT24" i="16" s="1"/>
  <c r="AU24" i="16" s="1"/>
  <c r="O25" i="5"/>
  <c r="D26" i="5"/>
  <c r="E26" i="5"/>
  <c r="CW24" i="16"/>
  <c r="CQ24" i="16"/>
  <c r="CT24" i="16" s="1"/>
  <c r="CV24" i="16"/>
  <c r="A27" i="5"/>
  <c r="B23" i="16"/>
  <c r="B27" i="5" s="1"/>
  <c r="DY23" i="16"/>
  <c r="A24" i="16"/>
  <c r="C24" i="16" s="1"/>
  <c r="AY25" i="16"/>
  <c r="BG25" i="16"/>
  <c r="BF25" i="16"/>
  <c r="BD24" i="16"/>
  <c r="AX24" i="16"/>
  <c r="BA24" i="16" s="1"/>
  <c r="BB24" i="16" s="1"/>
  <c r="AZ25" i="16"/>
  <c r="BC24" i="16"/>
  <c r="CS24" i="16"/>
  <c r="BN24" i="16"/>
  <c r="BO24" i="16"/>
  <c r="BU24" i="16"/>
  <c r="BV24" i="16"/>
  <c r="AI25" i="16"/>
  <c r="AL25" i="16" s="1"/>
  <c r="AM25" i="16" s="1"/>
  <c r="AK26" i="16"/>
  <c r="AO25" i="16"/>
  <c r="AN25" i="16"/>
  <c r="CG26" i="16"/>
  <c r="CB26" i="16"/>
  <c r="CH26" i="16"/>
  <c r="BH24" i="16"/>
  <c r="BE23" i="16"/>
  <c r="BI23" i="16" s="1"/>
  <c r="BJ23" i="16" s="1"/>
  <c r="AU23" i="16"/>
  <c r="CR25" i="16"/>
  <c r="CS25" i="16"/>
  <c r="CZ25" i="16"/>
  <c r="CY25" i="16"/>
  <c r="AJ26" i="16"/>
  <c r="AR26" i="16"/>
  <c r="AQ26" i="16"/>
  <c r="C26" i="5"/>
  <c r="DZ22" i="16"/>
  <c r="EA22" i="16" s="1"/>
  <c r="CI25" i="16"/>
  <c r="F25" i="5" l="1"/>
  <c r="M21" i="16"/>
  <c r="O21" i="16" s="1"/>
  <c r="L25" i="5" s="1"/>
  <c r="G25" i="5"/>
  <c r="L21" i="16"/>
  <c r="EC21" i="16" s="1"/>
  <c r="L20" i="16"/>
  <c r="I24" i="5" s="1"/>
  <c r="DD22" i="16"/>
  <c r="I22" i="16" s="1"/>
  <c r="J22" i="16" s="1"/>
  <c r="M22" i="16" s="1"/>
  <c r="BX23" i="16"/>
  <c r="BY23" i="16" s="1"/>
  <c r="DE23" i="16" s="1"/>
  <c r="N23" i="16" s="1"/>
  <c r="M27" i="5" s="1"/>
  <c r="CL24" i="16"/>
  <c r="CM24" i="16" s="1"/>
  <c r="CN24" i="16" s="1"/>
  <c r="CF24" i="16"/>
  <c r="CA26" i="16"/>
  <c r="CK25" i="16"/>
  <c r="CD25" i="16"/>
  <c r="CC25" i="16"/>
  <c r="CE25" i="16" s="1"/>
  <c r="CJ25" i="16"/>
  <c r="BP24" i="16"/>
  <c r="BQ24" i="16" s="1"/>
  <c r="BK26" i="16"/>
  <c r="BS25" i="16"/>
  <c r="BM25" i="16"/>
  <c r="BR25" i="16"/>
  <c r="BT24" i="16"/>
  <c r="DA25" i="16"/>
  <c r="BH25" i="16"/>
  <c r="O26" i="5"/>
  <c r="AP25" i="16"/>
  <c r="AT25" i="16" s="1"/>
  <c r="AU25" i="16" s="1"/>
  <c r="AN26" i="16"/>
  <c r="AO26" i="16"/>
  <c r="AI26" i="16"/>
  <c r="AL26" i="16" s="1"/>
  <c r="AM26" i="16" s="1"/>
  <c r="BN25" i="16"/>
  <c r="BO25" i="16"/>
  <c r="BU25" i="16"/>
  <c r="BV25" i="16"/>
  <c r="BE24" i="16"/>
  <c r="BI24" i="16" s="1"/>
  <c r="AK27" i="16"/>
  <c r="AJ27" i="16"/>
  <c r="AR27" i="16"/>
  <c r="AQ27" i="16"/>
  <c r="CI26" i="16"/>
  <c r="AX25" i="16"/>
  <c r="BA25" i="16" s="1"/>
  <c r="BB25" i="16" s="1"/>
  <c r="BC25" i="16"/>
  <c r="BD25" i="16"/>
  <c r="C27" i="5"/>
  <c r="DZ23" i="16"/>
  <c r="EA23" i="16" s="1"/>
  <c r="CQ25" i="16"/>
  <c r="CT25" i="16" s="1"/>
  <c r="CU25" i="16" s="1"/>
  <c r="CW25" i="16"/>
  <c r="CV25" i="16"/>
  <c r="CR26" i="16"/>
  <c r="CY26" i="16"/>
  <c r="CZ26" i="16"/>
  <c r="AS26" i="16"/>
  <c r="CB27" i="16"/>
  <c r="CG27" i="16"/>
  <c r="CH27" i="16"/>
  <c r="BW24" i="16"/>
  <c r="CU24" i="16"/>
  <c r="AZ26" i="16"/>
  <c r="AY26" i="16"/>
  <c r="BF26" i="16"/>
  <c r="BG26" i="16"/>
  <c r="A28" i="5"/>
  <c r="A25" i="16"/>
  <c r="C25" i="16" s="1"/>
  <c r="DY24" i="16"/>
  <c r="B24" i="16"/>
  <c r="B28" i="5" s="1"/>
  <c r="D27" i="5"/>
  <c r="E27" i="5"/>
  <c r="CX24" i="16"/>
  <c r="DB24" i="16" s="1"/>
  <c r="DC24" i="16" s="1"/>
  <c r="CF25" i="16" l="1"/>
  <c r="N25" i="5"/>
  <c r="I25" i="5"/>
  <c r="EC20" i="16"/>
  <c r="F26" i="5"/>
  <c r="K22" i="16"/>
  <c r="BX24" i="16"/>
  <c r="BY24" i="16" s="1"/>
  <c r="DD23" i="16"/>
  <c r="I23" i="16" s="1"/>
  <c r="J23" i="16" s="1"/>
  <c r="G27" i="5" s="1"/>
  <c r="G26" i="5"/>
  <c r="CL25" i="16"/>
  <c r="CM25" i="16" s="1"/>
  <c r="CN25" i="16" s="1"/>
  <c r="CA27" i="16"/>
  <c r="CK26" i="16"/>
  <c r="CC26" i="16"/>
  <c r="CE26" i="16" s="1"/>
  <c r="CD26" i="16"/>
  <c r="CJ26" i="16"/>
  <c r="BK27" i="16"/>
  <c r="BR26" i="16"/>
  <c r="BS26" i="16"/>
  <c r="BM26" i="16"/>
  <c r="BP25" i="16"/>
  <c r="BQ25" i="16" s="1"/>
  <c r="BT25" i="16"/>
  <c r="O22" i="16"/>
  <c r="L26" i="5" s="1"/>
  <c r="N26" i="5"/>
  <c r="BH26" i="16"/>
  <c r="AS27" i="16"/>
  <c r="AP26" i="16"/>
  <c r="AT26" i="16" s="1"/>
  <c r="O27" i="5"/>
  <c r="BW25" i="16"/>
  <c r="CB28" i="16"/>
  <c r="CG28" i="16"/>
  <c r="CH28" i="16"/>
  <c r="CW26" i="16"/>
  <c r="CQ26" i="16"/>
  <c r="CT26" i="16" s="1"/>
  <c r="CV26" i="16"/>
  <c r="AJ28" i="16"/>
  <c r="AQ28" i="16"/>
  <c r="AR28" i="16"/>
  <c r="DA26" i="16"/>
  <c r="BU26" i="16"/>
  <c r="BV26" i="16"/>
  <c r="BN26" i="16"/>
  <c r="BO26" i="16"/>
  <c r="AI27" i="16"/>
  <c r="AL27" i="16" s="1"/>
  <c r="AM27" i="16" s="1"/>
  <c r="AN27" i="16"/>
  <c r="AO27" i="16"/>
  <c r="E28" i="5"/>
  <c r="D28" i="5"/>
  <c r="AY27" i="16"/>
  <c r="BG27" i="16"/>
  <c r="BF27" i="16"/>
  <c r="CI27" i="16"/>
  <c r="CX25" i="16"/>
  <c r="DB25" i="16" s="1"/>
  <c r="DC25" i="16" s="1"/>
  <c r="BE25" i="16"/>
  <c r="BI25" i="16" s="1"/>
  <c r="BJ24" i="16"/>
  <c r="DD24" i="16"/>
  <c r="I24" i="16" s="1"/>
  <c r="J24" i="16" s="1"/>
  <c r="C28" i="5"/>
  <c r="DZ24" i="16"/>
  <c r="EA24" i="16" s="1"/>
  <c r="B25" i="16"/>
  <c r="B29" i="5" s="1"/>
  <c r="A26" i="16"/>
  <c r="C26" i="16" s="1"/>
  <c r="DY25" i="16"/>
  <c r="A29" i="5"/>
  <c r="CR27" i="16"/>
  <c r="CY27" i="16"/>
  <c r="CZ27" i="16"/>
  <c r="CS26" i="16"/>
  <c r="AZ27" i="16"/>
  <c r="BC26" i="16"/>
  <c r="AX26" i="16"/>
  <c r="BA26" i="16" s="1"/>
  <c r="BB26" i="16" s="1"/>
  <c r="BD26" i="16"/>
  <c r="CF26" i="16" l="1"/>
  <c r="L22" i="16"/>
  <c r="I26" i="5" s="1"/>
  <c r="F27" i="5"/>
  <c r="M23" i="16"/>
  <c r="O23" i="16" s="1"/>
  <c r="L27" i="5" s="1"/>
  <c r="DE24" i="16"/>
  <c r="N24" i="16" s="1"/>
  <c r="M28" i="5" s="1"/>
  <c r="K23" i="16"/>
  <c r="L23" i="16" s="1"/>
  <c r="BX25" i="16"/>
  <c r="BY25" i="16" s="1"/>
  <c r="CL26" i="16"/>
  <c r="CM26" i="16" s="1"/>
  <c r="CN26" i="16" s="1"/>
  <c r="CA28" i="16"/>
  <c r="CJ27" i="16"/>
  <c r="CD27" i="16"/>
  <c r="CC27" i="16"/>
  <c r="CE27" i="16" s="1"/>
  <c r="CK27" i="16"/>
  <c r="BT26" i="16"/>
  <c r="BP26" i="16"/>
  <c r="BK28" i="16"/>
  <c r="BM27" i="16"/>
  <c r="BS27" i="16"/>
  <c r="BR27" i="16"/>
  <c r="CU26" i="16"/>
  <c r="K24" i="16"/>
  <c r="M24" i="16"/>
  <c r="BQ26" i="16"/>
  <c r="BW26" i="16"/>
  <c r="CI28" i="16"/>
  <c r="G28" i="5"/>
  <c r="F28" i="5"/>
  <c r="BH27" i="16"/>
  <c r="O28" i="5"/>
  <c r="CQ27" i="16"/>
  <c r="CT27" i="16" s="1"/>
  <c r="CV27" i="16"/>
  <c r="CW27" i="16"/>
  <c r="CR28" i="16"/>
  <c r="CS28" i="16"/>
  <c r="CY28" i="16"/>
  <c r="CZ28" i="16"/>
  <c r="A30" i="5"/>
  <c r="A27" i="16"/>
  <c r="C27" i="16" s="1"/>
  <c r="DY26" i="16"/>
  <c r="B26" i="16"/>
  <c r="B30" i="5" s="1"/>
  <c r="AP27" i="16"/>
  <c r="AT27" i="16" s="1"/>
  <c r="AQ29" i="16"/>
  <c r="AR29" i="16"/>
  <c r="AJ29" i="16"/>
  <c r="CS27" i="16"/>
  <c r="AS28" i="16"/>
  <c r="CX26" i="16"/>
  <c r="DB26" i="16" s="1"/>
  <c r="DC26" i="16" s="1"/>
  <c r="AX27" i="16"/>
  <c r="BA27" i="16" s="1"/>
  <c r="BB27" i="16" s="1"/>
  <c r="BC27" i="16"/>
  <c r="BD27" i="16"/>
  <c r="AZ28" i="16"/>
  <c r="AY28" i="16"/>
  <c r="BF28" i="16"/>
  <c r="BG28" i="16"/>
  <c r="BO27" i="16"/>
  <c r="BN27" i="16"/>
  <c r="BV27" i="16"/>
  <c r="BU27" i="16"/>
  <c r="AU26" i="16"/>
  <c r="BE26" i="16"/>
  <c r="BI26" i="16" s="1"/>
  <c r="BJ26" i="16" s="1"/>
  <c r="DA27" i="16"/>
  <c r="E29" i="5"/>
  <c r="D29" i="5"/>
  <c r="C29" i="5"/>
  <c r="DZ25" i="16"/>
  <c r="EA25" i="16" s="1"/>
  <c r="BJ25" i="16"/>
  <c r="AK29" i="16"/>
  <c r="AN28" i="16"/>
  <c r="AI28" i="16"/>
  <c r="AL28" i="16" s="1"/>
  <c r="AO28" i="16"/>
  <c r="AK28" i="16"/>
  <c r="CH29" i="16"/>
  <c r="CG29" i="16"/>
  <c r="CB29" i="16"/>
  <c r="L24" i="16" l="1"/>
  <c r="I28" i="5" s="1"/>
  <c r="EC22" i="16"/>
  <c r="DE25" i="16"/>
  <c r="N25" i="16" s="1"/>
  <c r="M29" i="5" s="1"/>
  <c r="BX26" i="16"/>
  <c r="BY26" i="16" s="1"/>
  <c r="DE26" i="16" s="1"/>
  <c r="N26" i="16" s="1"/>
  <c r="M30" i="5" s="1"/>
  <c r="N27" i="5"/>
  <c r="I27" i="5"/>
  <c r="EC23" i="16"/>
  <c r="DD25" i="16"/>
  <c r="I25" i="16" s="1"/>
  <c r="J25" i="16" s="1"/>
  <c r="G29" i="5" s="1"/>
  <c r="BT27" i="16"/>
  <c r="CL27" i="16"/>
  <c r="CM27" i="16" s="1"/>
  <c r="CN27" i="16" s="1"/>
  <c r="CA29" i="16"/>
  <c r="CJ28" i="16"/>
  <c r="CC28" i="16"/>
  <c r="CE28" i="16" s="1"/>
  <c r="CK28" i="16"/>
  <c r="CD28" i="16"/>
  <c r="CF27" i="16"/>
  <c r="BP27" i="16"/>
  <c r="BQ27" i="16" s="1"/>
  <c r="BK29" i="16"/>
  <c r="BS28" i="16"/>
  <c r="BR28" i="16"/>
  <c r="BM28" i="16"/>
  <c r="O24" i="16"/>
  <c r="L28" i="5" s="1"/>
  <c r="N28" i="5"/>
  <c r="DD26" i="16"/>
  <c r="I26" i="16" s="1"/>
  <c r="J26" i="16" s="1"/>
  <c r="AM28" i="16"/>
  <c r="CU27" i="16"/>
  <c r="CX27" i="16"/>
  <c r="DB27" i="16" s="1"/>
  <c r="DC27" i="16" s="1"/>
  <c r="AP28" i="16"/>
  <c r="AT28" i="16" s="1"/>
  <c r="AU28" i="16" s="1"/>
  <c r="BE27" i="16"/>
  <c r="BI27" i="16" s="1"/>
  <c r="BJ27" i="16" s="1"/>
  <c r="O29" i="5"/>
  <c r="CY29" i="16"/>
  <c r="CR29" i="16"/>
  <c r="CZ29" i="16"/>
  <c r="CB30" i="16"/>
  <c r="CH30" i="16"/>
  <c r="CG30" i="16"/>
  <c r="BH28" i="16"/>
  <c r="AS29" i="16"/>
  <c r="A31" i="5"/>
  <c r="B27" i="16"/>
  <c r="B31" i="5" s="1"/>
  <c r="DY27" i="16"/>
  <c r="A28" i="16"/>
  <c r="C28" i="16" s="1"/>
  <c r="AJ30" i="16"/>
  <c r="AR30" i="16"/>
  <c r="AQ30" i="16"/>
  <c r="AK30" i="16"/>
  <c r="AI29" i="16"/>
  <c r="AL29" i="16" s="1"/>
  <c r="AM29" i="16" s="1"/>
  <c r="AN29" i="16"/>
  <c r="AO29" i="16"/>
  <c r="AX28" i="16"/>
  <c r="BA28" i="16" s="1"/>
  <c r="BB28" i="16" s="1"/>
  <c r="BC28" i="16"/>
  <c r="BD28" i="16"/>
  <c r="D30" i="5"/>
  <c r="E30" i="5"/>
  <c r="CQ28" i="16"/>
  <c r="CT28" i="16" s="1"/>
  <c r="CU28" i="16" s="1"/>
  <c r="CV28" i="16"/>
  <c r="CS29" i="16"/>
  <c r="CW28" i="16"/>
  <c r="CI29" i="16"/>
  <c r="BW27" i="16"/>
  <c r="BN28" i="16"/>
  <c r="BU28" i="16"/>
  <c r="BO28" i="16"/>
  <c r="BV28" i="16"/>
  <c r="AY29" i="16"/>
  <c r="BF29" i="16"/>
  <c r="BG29" i="16"/>
  <c r="AU27" i="16"/>
  <c r="C30" i="5"/>
  <c r="DZ26" i="16"/>
  <c r="EA26" i="16" s="1"/>
  <c r="DA28" i="16"/>
  <c r="BP28" i="16" l="1"/>
  <c r="BQ28" i="16" s="1"/>
  <c r="EC24" i="16"/>
  <c r="CF28" i="16"/>
  <c r="F29" i="5"/>
  <c r="BT28" i="16"/>
  <c r="M25" i="16"/>
  <c r="N29" i="5" s="1"/>
  <c r="BX27" i="16"/>
  <c r="BY27" i="16" s="1"/>
  <c r="DE27" i="16" s="1"/>
  <c r="N27" i="16" s="1"/>
  <c r="M31" i="5" s="1"/>
  <c r="K25" i="16"/>
  <c r="CA30" i="16"/>
  <c r="CC29" i="16"/>
  <c r="CE29" i="16" s="1"/>
  <c r="CD29" i="16"/>
  <c r="CJ29" i="16"/>
  <c r="CK29" i="16"/>
  <c r="CL28" i="16"/>
  <c r="CM28" i="16" s="1"/>
  <c r="CN28" i="16" s="1"/>
  <c r="BK30" i="16"/>
  <c r="BR29" i="16"/>
  <c r="BM29" i="16"/>
  <c r="BS29" i="16"/>
  <c r="K26" i="16"/>
  <c r="M26" i="16"/>
  <c r="F30" i="5"/>
  <c r="G30" i="5"/>
  <c r="BW28" i="16"/>
  <c r="CX28" i="16"/>
  <c r="DB28" i="16" s="1"/>
  <c r="DC28" i="16" s="1"/>
  <c r="CI30" i="16"/>
  <c r="O30" i="5"/>
  <c r="A32" i="5"/>
  <c r="B28" i="16"/>
  <c r="B32" i="5" s="1"/>
  <c r="A29" i="16"/>
  <c r="C29" i="16" s="1"/>
  <c r="DY28" i="16"/>
  <c r="BC29" i="16"/>
  <c r="AX29" i="16"/>
  <c r="BA29" i="16" s="1"/>
  <c r="BD29" i="16"/>
  <c r="AR31" i="16"/>
  <c r="AQ31" i="16"/>
  <c r="AJ31" i="16"/>
  <c r="C31" i="5"/>
  <c r="DZ27" i="16"/>
  <c r="EA27" i="16" s="1"/>
  <c r="D31" i="5"/>
  <c r="E31" i="5"/>
  <c r="DA29" i="16"/>
  <c r="BH29" i="16"/>
  <c r="BE28" i="16"/>
  <c r="BI28" i="16" s="1"/>
  <c r="AI30" i="16"/>
  <c r="AL30" i="16" s="1"/>
  <c r="AM30" i="16" s="1"/>
  <c r="AO30" i="16"/>
  <c r="AN30" i="16"/>
  <c r="AS30" i="16"/>
  <c r="CB31" i="16"/>
  <c r="CH31" i="16"/>
  <c r="CG31" i="16"/>
  <c r="CR30" i="16"/>
  <c r="CZ30" i="16"/>
  <c r="CY30" i="16"/>
  <c r="BG30" i="16"/>
  <c r="BF30" i="16"/>
  <c r="AY30" i="16"/>
  <c r="BO29" i="16"/>
  <c r="BN29" i="16"/>
  <c r="BV29" i="16"/>
  <c r="BU29" i="16"/>
  <c r="AP29" i="16"/>
  <c r="AT29" i="16" s="1"/>
  <c r="AZ29" i="16"/>
  <c r="CQ29" i="16"/>
  <c r="CT29" i="16" s="1"/>
  <c r="CU29" i="16" s="1"/>
  <c r="CS30" i="16"/>
  <c r="CV29" i="16"/>
  <c r="CW29" i="16"/>
  <c r="BX28" i="16" l="1"/>
  <c r="BY28" i="16" s="1"/>
  <c r="L26" i="16"/>
  <c r="I30" i="5" s="1"/>
  <c r="L25" i="16"/>
  <c r="I29" i="5" s="1"/>
  <c r="DD27" i="16"/>
  <c r="I27" i="16" s="1"/>
  <c r="J27" i="16" s="1"/>
  <c r="K27" i="16" s="1"/>
  <c r="O25" i="16"/>
  <c r="L29" i="5" s="1"/>
  <c r="CL29" i="16"/>
  <c r="CM29" i="16" s="1"/>
  <c r="CN29" i="16" s="1"/>
  <c r="CF29" i="16"/>
  <c r="CA31" i="16"/>
  <c r="CK30" i="16"/>
  <c r="CJ30" i="16"/>
  <c r="CC30" i="16"/>
  <c r="CE30" i="16" s="1"/>
  <c r="CD30" i="16"/>
  <c r="BT29" i="16"/>
  <c r="BP29" i="16"/>
  <c r="BK31" i="16"/>
  <c r="BM30" i="16"/>
  <c r="BS30" i="16"/>
  <c r="BR30" i="16"/>
  <c r="O26" i="16"/>
  <c r="N30" i="5"/>
  <c r="BH30" i="16"/>
  <c r="BB29" i="16"/>
  <c r="BE29" i="16"/>
  <c r="BI29" i="16" s="1"/>
  <c r="BJ29" i="16" s="1"/>
  <c r="O31" i="5"/>
  <c r="BD30" i="16"/>
  <c r="AX30" i="16"/>
  <c r="BA30" i="16" s="1"/>
  <c r="BC30" i="16"/>
  <c r="E32" i="5"/>
  <c r="D32" i="5"/>
  <c r="AU29" i="16"/>
  <c r="BN30" i="16"/>
  <c r="BO30" i="16"/>
  <c r="BU30" i="16"/>
  <c r="BV30" i="16"/>
  <c r="AI31" i="16"/>
  <c r="AL31" i="16" s="1"/>
  <c r="AO31" i="16"/>
  <c r="AN31" i="16"/>
  <c r="AK31" i="16"/>
  <c r="A33" i="5"/>
  <c r="DY29" i="16"/>
  <c r="A30" i="16"/>
  <c r="C30" i="16" s="1"/>
  <c r="B29" i="16"/>
  <c r="B33" i="5" s="1"/>
  <c r="CW30" i="16"/>
  <c r="CQ30" i="16"/>
  <c r="CT30" i="16" s="1"/>
  <c r="CU30" i="16" s="1"/>
  <c r="CV30" i="16"/>
  <c r="BW29" i="16"/>
  <c r="BQ29" i="16"/>
  <c r="AY31" i="16"/>
  <c r="AZ31" i="16"/>
  <c r="BG31" i="16"/>
  <c r="BF31" i="16"/>
  <c r="DA30" i="16"/>
  <c r="CB32" i="16"/>
  <c r="CH32" i="16"/>
  <c r="CG32" i="16"/>
  <c r="AP30" i="16"/>
  <c r="AT30" i="16" s="1"/>
  <c r="BJ28" i="16"/>
  <c r="DE28" i="16" s="1"/>
  <c r="N28" i="16" s="1"/>
  <c r="M32" i="5" s="1"/>
  <c r="DD28" i="16"/>
  <c r="I28" i="16" s="1"/>
  <c r="J28" i="16" s="1"/>
  <c r="AJ32" i="16"/>
  <c r="AR32" i="16"/>
  <c r="AK32" i="16"/>
  <c r="AQ32" i="16"/>
  <c r="CX29" i="16"/>
  <c r="DB29" i="16" s="1"/>
  <c r="DC29" i="16" s="1"/>
  <c r="AZ30" i="16"/>
  <c r="CY31" i="16"/>
  <c r="CZ31" i="16"/>
  <c r="CR31" i="16"/>
  <c r="CI31" i="16"/>
  <c r="AS31" i="16"/>
  <c r="C32" i="5"/>
  <c r="DZ28" i="16"/>
  <c r="EA28" i="16" s="1"/>
  <c r="CF30" i="16" l="1"/>
  <c r="EC26" i="16"/>
  <c r="EC25" i="16"/>
  <c r="L27" i="16"/>
  <c r="I31" i="5" s="1"/>
  <c r="F31" i="5"/>
  <c r="M27" i="16"/>
  <c r="N31" i="5" s="1"/>
  <c r="G31" i="5"/>
  <c r="BX29" i="16"/>
  <c r="BY29" i="16" s="1"/>
  <c r="DE29" i="16" s="1"/>
  <c r="N29" i="16" s="1"/>
  <c r="M33" i="5" s="1"/>
  <c r="CL30" i="16"/>
  <c r="CM30" i="16" s="1"/>
  <c r="CN30" i="16" s="1"/>
  <c r="O32" i="5"/>
  <c r="CA32" i="16"/>
  <c r="CJ31" i="16"/>
  <c r="CK31" i="16"/>
  <c r="CC31" i="16"/>
  <c r="CE31" i="16" s="1"/>
  <c r="CD31" i="16"/>
  <c r="BP30" i="16"/>
  <c r="BQ30" i="16" s="1"/>
  <c r="BK32" i="16"/>
  <c r="BS31" i="16"/>
  <c r="BR31" i="16"/>
  <c r="BM31" i="16"/>
  <c r="BT30" i="16"/>
  <c r="BB30" i="16"/>
  <c r="K28" i="16"/>
  <c r="M28" i="16"/>
  <c r="L30" i="5"/>
  <c r="BH31" i="16"/>
  <c r="AP31" i="16"/>
  <c r="AT31" i="16" s="1"/>
  <c r="CX30" i="16"/>
  <c r="DB30" i="16" s="1"/>
  <c r="DC30" i="16" s="1"/>
  <c r="C33" i="5"/>
  <c r="DZ29" i="16"/>
  <c r="EA29" i="16" s="1"/>
  <c r="BE30" i="16"/>
  <c r="BI30" i="16" s="1"/>
  <c r="BJ30" i="16" s="1"/>
  <c r="DA31" i="16"/>
  <c r="AU30" i="16"/>
  <c r="CG33" i="16"/>
  <c r="CB33" i="16"/>
  <c r="CH33" i="16"/>
  <c r="E33" i="5"/>
  <c r="D33" i="5"/>
  <c r="BN31" i="16"/>
  <c r="BO31" i="16"/>
  <c r="BV31" i="16"/>
  <c r="BU31" i="16"/>
  <c r="G32" i="5"/>
  <c r="F32" i="5"/>
  <c r="AX31" i="16"/>
  <c r="BA31" i="16" s="1"/>
  <c r="BB31" i="16" s="1"/>
  <c r="BC31" i="16"/>
  <c r="BD31" i="16"/>
  <c r="CY32" i="16"/>
  <c r="CR32" i="16"/>
  <c r="CZ32" i="16"/>
  <c r="CS32" i="16"/>
  <c r="AQ33" i="16"/>
  <c r="AR33" i="16"/>
  <c r="AJ33" i="16"/>
  <c r="CQ31" i="16"/>
  <c r="CT31" i="16" s="1"/>
  <c r="CV31" i="16"/>
  <c r="CW31" i="16"/>
  <c r="A34" i="5"/>
  <c r="DY30" i="16"/>
  <c r="B30" i="16"/>
  <c r="B34" i="5" s="1"/>
  <c r="A31" i="16"/>
  <c r="C31" i="16" s="1"/>
  <c r="AM31" i="16"/>
  <c r="CS31" i="16"/>
  <c r="AS32" i="16"/>
  <c r="CI32" i="16"/>
  <c r="AZ32" i="16"/>
  <c r="BF32" i="16"/>
  <c r="BG32" i="16"/>
  <c r="AY32" i="16"/>
  <c r="AO32" i="16"/>
  <c r="AI32" i="16"/>
  <c r="AL32" i="16" s="1"/>
  <c r="AM32" i="16" s="1"/>
  <c r="AK33" i="16"/>
  <c r="AN32" i="16"/>
  <c r="BW30" i="16"/>
  <c r="BP31" i="16" l="1"/>
  <c r="BQ31" i="16" s="1"/>
  <c r="EC27" i="16"/>
  <c r="L28" i="16"/>
  <c r="I32" i="5" s="1"/>
  <c r="O27" i="16"/>
  <c r="L31" i="5" s="1"/>
  <c r="DD29" i="16"/>
  <c r="I29" i="16" s="1"/>
  <c r="J29" i="16" s="1"/>
  <c r="K29" i="16" s="1"/>
  <c r="BT31" i="16"/>
  <c r="BX30" i="16"/>
  <c r="BY30" i="16" s="1"/>
  <c r="DE30" i="16" s="1"/>
  <c r="N30" i="16" s="1"/>
  <c r="M34" i="5" s="1"/>
  <c r="CL31" i="16"/>
  <c r="CM31" i="16" s="1"/>
  <c r="CN31" i="16" s="1"/>
  <c r="CA33" i="16"/>
  <c r="CC32" i="16"/>
  <c r="CE32" i="16" s="1"/>
  <c r="CK32" i="16"/>
  <c r="CD32" i="16"/>
  <c r="CJ32" i="16"/>
  <c r="CF31" i="16"/>
  <c r="BK33" i="16"/>
  <c r="BR32" i="16"/>
  <c r="BM32" i="16"/>
  <c r="BS32" i="16"/>
  <c r="CU31" i="16"/>
  <c r="O28" i="16"/>
  <c r="L32" i="5" s="1"/>
  <c r="N32" i="5"/>
  <c r="BE31" i="16"/>
  <c r="BI31" i="16" s="1"/>
  <c r="BJ31" i="16" s="1"/>
  <c r="O33" i="5"/>
  <c r="DA32" i="16"/>
  <c r="BW31" i="16"/>
  <c r="CX31" i="16"/>
  <c r="DB31" i="16" s="1"/>
  <c r="DC31" i="16" s="1"/>
  <c r="C34" i="5"/>
  <c r="DZ30" i="16"/>
  <c r="EA30" i="16" s="1"/>
  <c r="BO32" i="16"/>
  <c r="BV32" i="16"/>
  <c r="BU32" i="16"/>
  <c r="BN32" i="16"/>
  <c r="BH32" i="16"/>
  <c r="A35" i="5"/>
  <c r="B31" i="16"/>
  <c r="B35" i="5" s="1"/>
  <c r="DY31" i="16"/>
  <c r="A32" i="16"/>
  <c r="C32" i="16" s="1"/>
  <c r="CQ32" i="16"/>
  <c r="CT32" i="16" s="1"/>
  <c r="CU32" i="16" s="1"/>
  <c r="CV32" i="16"/>
  <c r="CW32" i="16"/>
  <c r="AI33" i="16"/>
  <c r="AL33" i="16" s="1"/>
  <c r="AM33" i="16" s="1"/>
  <c r="AN33" i="16"/>
  <c r="AO33" i="16"/>
  <c r="BF33" i="16"/>
  <c r="AY33" i="16"/>
  <c r="AZ33" i="16"/>
  <c r="BG33" i="16"/>
  <c r="D34" i="5"/>
  <c r="E34" i="5"/>
  <c r="AK34" i="16"/>
  <c r="AJ34" i="16"/>
  <c r="AR34" i="16"/>
  <c r="AQ34" i="16"/>
  <c r="BD32" i="16"/>
  <c r="AX32" i="16"/>
  <c r="BA32" i="16" s="1"/>
  <c r="BB32" i="16" s="1"/>
  <c r="BC32" i="16"/>
  <c r="CI33" i="16"/>
  <c r="AU31" i="16"/>
  <c r="AP32" i="16"/>
  <c r="AT32" i="16" s="1"/>
  <c r="AS33" i="16"/>
  <c r="CY33" i="16"/>
  <c r="CS33" i="16"/>
  <c r="CR33" i="16"/>
  <c r="CZ33" i="16"/>
  <c r="CB34" i="16"/>
  <c r="CG34" i="16"/>
  <c r="CH34" i="16"/>
  <c r="BP32" i="16" l="1"/>
  <c r="BQ32" i="16" s="1"/>
  <c r="F33" i="5"/>
  <c r="BX31" i="16"/>
  <c r="BY31" i="16" s="1"/>
  <c r="DE31" i="16" s="1"/>
  <c r="N31" i="16" s="1"/>
  <c r="M35" i="5" s="1"/>
  <c r="EC28" i="16"/>
  <c r="L29" i="16"/>
  <c r="EC29" i="16" s="1"/>
  <c r="G33" i="5"/>
  <c r="M29" i="16"/>
  <c r="O29" i="16" s="1"/>
  <c r="DD30" i="16"/>
  <c r="I30" i="16" s="1"/>
  <c r="J30" i="16" s="1"/>
  <c r="K30" i="16" s="1"/>
  <c r="CF32" i="16"/>
  <c r="CL32" i="16"/>
  <c r="CM32" i="16" s="1"/>
  <c r="CN32" i="16" s="1"/>
  <c r="CA34" i="16"/>
  <c r="CC33" i="16"/>
  <c r="CE33" i="16" s="1"/>
  <c r="CJ33" i="16"/>
  <c r="CK33" i="16"/>
  <c r="CD33" i="16"/>
  <c r="BT32" i="16"/>
  <c r="BK34" i="16"/>
  <c r="BR33" i="16"/>
  <c r="BM33" i="16"/>
  <c r="BS33" i="16"/>
  <c r="CX32" i="16"/>
  <c r="DB32" i="16" s="1"/>
  <c r="DC32" i="16" s="1"/>
  <c r="AS34" i="16"/>
  <c r="O34" i="5"/>
  <c r="CB35" i="16"/>
  <c r="CH35" i="16"/>
  <c r="CG35" i="16"/>
  <c r="AU32" i="16"/>
  <c r="D35" i="5"/>
  <c r="E35" i="5"/>
  <c r="CR34" i="16"/>
  <c r="CZ34" i="16"/>
  <c r="CY34" i="16"/>
  <c r="AX33" i="16"/>
  <c r="BA33" i="16" s="1"/>
  <c r="BB33" i="16" s="1"/>
  <c r="BC33" i="16"/>
  <c r="BD33" i="16"/>
  <c r="AP33" i="16"/>
  <c r="AT33" i="16" s="1"/>
  <c r="CI34" i="16"/>
  <c r="DA33" i="16"/>
  <c r="BE32" i="16"/>
  <c r="BI32" i="16" s="1"/>
  <c r="BJ32" i="16" s="1"/>
  <c r="AY34" i="16"/>
  <c r="BG34" i="16"/>
  <c r="AZ34" i="16"/>
  <c r="BF34" i="16"/>
  <c r="BN33" i="16"/>
  <c r="BO33" i="16"/>
  <c r="BU33" i="16"/>
  <c r="BV33" i="16"/>
  <c r="AJ35" i="16"/>
  <c r="AR35" i="16"/>
  <c r="AQ35" i="16"/>
  <c r="A36" i="5"/>
  <c r="A33" i="16"/>
  <c r="C33" i="16" s="1"/>
  <c r="DY32" i="16"/>
  <c r="B32" i="16"/>
  <c r="B36" i="5" s="1"/>
  <c r="BH33" i="16"/>
  <c r="AI34" i="16"/>
  <c r="AL34" i="16" s="1"/>
  <c r="AM34" i="16" s="1"/>
  <c r="AO34" i="16"/>
  <c r="AN34" i="16"/>
  <c r="CS34" i="16"/>
  <c r="CQ33" i="16"/>
  <c r="CT33" i="16" s="1"/>
  <c r="CU33" i="16" s="1"/>
  <c r="CV33" i="16"/>
  <c r="CW33" i="16"/>
  <c r="C35" i="5"/>
  <c r="DZ31" i="16"/>
  <c r="EA31" i="16" s="1"/>
  <c r="BW32" i="16"/>
  <c r="DD31" i="16" l="1"/>
  <c r="I31" i="16" s="1"/>
  <c r="J31" i="16" s="1"/>
  <c r="M31" i="16" s="1"/>
  <c r="L30" i="16"/>
  <c r="I34" i="5" s="1"/>
  <c r="CF33" i="16"/>
  <c r="I33" i="5"/>
  <c r="BX32" i="16"/>
  <c r="BY32" i="16" s="1"/>
  <c r="DE32" i="16" s="1"/>
  <c r="N32" i="16" s="1"/>
  <c r="M36" i="5" s="1"/>
  <c r="N33" i="5"/>
  <c r="CL33" i="16"/>
  <c r="CM33" i="16" s="1"/>
  <c r="CN33" i="16" s="1"/>
  <c r="BT33" i="16"/>
  <c r="G34" i="5"/>
  <c r="M30" i="16"/>
  <c r="O30" i="16" s="1"/>
  <c r="L34" i="5" s="1"/>
  <c r="F34" i="5"/>
  <c r="CA35" i="16"/>
  <c r="CK34" i="16"/>
  <c r="CJ34" i="16"/>
  <c r="CC34" i="16"/>
  <c r="CE34" i="16" s="1"/>
  <c r="CD34" i="16"/>
  <c r="BK35" i="16"/>
  <c r="BR34" i="16"/>
  <c r="BS34" i="16"/>
  <c r="BM34" i="16"/>
  <c r="BP33" i="16"/>
  <c r="BQ33" i="16" s="1"/>
  <c r="L33" i="5"/>
  <c r="CI35" i="16"/>
  <c r="O35" i="5"/>
  <c r="BW33" i="16"/>
  <c r="AP34" i="16"/>
  <c r="AT34" i="16" s="1"/>
  <c r="AU34" i="16" s="1"/>
  <c r="E36" i="5"/>
  <c r="D36" i="5"/>
  <c r="CX33" i="16"/>
  <c r="DB33" i="16" s="1"/>
  <c r="DC33" i="16" s="1"/>
  <c r="CR35" i="16"/>
  <c r="CZ35" i="16"/>
  <c r="CY35" i="16"/>
  <c r="A37" i="5"/>
  <c r="DY33" i="16"/>
  <c r="A34" i="16"/>
  <c r="C34" i="16" s="1"/>
  <c r="B33" i="16"/>
  <c r="B37" i="5" s="1"/>
  <c r="AS35" i="16"/>
  <c r="BH34" i="16"/>
  <c r="AY35" i="16"/>
  <c r="BG35" i="16"/>
  <c r="BF35" i="16"/>
  <c r="AX34" i="16"/>
  <c r="BA34" i="16" s="1"/>
  <c r="BB34" i="16" s="1"/>
  <c r="BD34" i="16"/>
  <c r="BC34" i="16"/>
  <c r="DA34" i="16"/>
  <c r="BN34" i="16"/>
  <c r="BO34" i="16"/>
  <c r="BV34" i="16"/>
  <c r="BU34" i="16"/>
  <c r="CS35" i="16"/>
  <c r="CQ34" i="16"/>
  <c r="CT34" i="16" s="1"/>
  <c r="CU34" i="16" s="1"/>
  <c r="CV34" i="16"/>
  <c r="CW34" i="16"/>
  <c r="AI35" i="16"/>
  <c r="AL35" i="16" s="1"/>
  <c r="AN35" i="16"/>
  <c r="AO35" i="16"/>
  <c r="C36" i="5"/>
  <c r="DZ32" i="16"/>
  <c r="EA32" i="16" s="1"/>
  <c r="AK35" i="16"/>
  <c r="AU33" i="16"/>
  <c r="BE33" i="16"/>
  <c r="BI33" i="16" s="1"/>
  <c r="BJ33" i="16" s="1"/>
  <c r="F35" i="5" l="1"/>
  <c r="G35" i="5"/>
  <c r="K31" i="16"/>
  <c r="L31" i="16" s="1"/>
  <c r="I35" i="5" s="1"/>
  <c r="CF34" i="16"/>
  <c r="DD32" i="16"/>
  <c r="I32" i="16" s="1"/>
  <c r="J32" i="16" s="1"/>
  <c r="K32" i="16" s="1"/>
  <c r="EC30" i="16"/>
  <c r="CL34" i="16"/>
  <c r="CM34" i="16" s="1"/>
  <c r="CN34" i="16" s="1"/>
  <c r="BX33" i="16"/>
  <c r="BY33" i="16" s="1"/>
  <c r="DE33" i="16" s="1"/>
  <c r="N33" i="16" s="1"/>
  <c r="M37" i="5" s="1"/>
  <c r="N34" i="5"/>
  <c r="CJ35" i="16"/>
  <c r="CK35" i="16"/>
  <c r="CC35" i="16"/>
  <c r="CE35" i="16" s="1"/>
  <c r="CD35" i="16"/>
  <c r="BT34" i="16"/>
  <c r="BP34" i="16"/>
  <c r="BQ34" i="16" s="1"/>
  <c r="BM35" i="16"/>
  <c r="BR35" i="16"/>
  <c r="BS35" i="16"/>
  <c r="O31" i="16"/>
  <c r="L35" i="5" s="1"/>
  <c r="N35" i="5"/>
  <c r="O36" i="5"/>
  <c r="AM35" i="16"/>
  <c r="CX34" i="16"/>
  <c r="DB34" i="16" s="1"/>
  <c r="DC34" i="16" s="1"/>
  <c r="C37" i="5"/>
  <c r="DZ33" i="16"/>
  <c r="EA33" i="16" s="1"/>
  <c r="BD35" i="16"/>
  <c r="AX35" i="16"/>
  <c r="BA35" i="16" s="1"/>
  <c r="BC35" i="16"/>
  <c r="AZ35" i="16"/>
  <c r="D37" i="5"/>
  <c r="E37" i="5"/>
  <c r="AP35" i="16"/>
  <c r="AT35" i="16" s="1"/>
  <c r="CQ35" i="16"/>
  <c r="CT35" i="16" s="1"/>
  <c r="CU35" i="16" s="1"/>
  <c r="CV35" i="16"/>
  <c r="CW35" i="16"/>
  <c r="BW34" i="16"/>
  <c r="BN35" i="16"/>
  <c r="BV35" i="16"/>
  <c r="BO35" i="16"/>
  <c r="BU35" i="16"/>
  <c r="BE34" i="16"/>
  <c r="BI34" i="16" s="1"/>
  <c r="BH35" i="16"/>
  <c r="A38" i="5"/>
  <c r="B34" i="16"/>
  <c r="B38" i="5" s="1"/>
  <c r="DY34" i="16"/>
  <c r="A35" i="16"/>
  <c r="C35" i="16" s="1"/>
  <c r="DA35" i="16"/>
  <c r="F36" i="5"/>
  <c r="G36" i="5" l="1"/>
  <c r="DD33" i="16"/>
  <c r="I33" i="16" s="1"/>
  <c r="J33" i="16" s="1"/>
  <c r="K33" i="16" s="1"/>
  <c r="M32" i="16"/>
  <c r="O32" i="16" s="1"/>
  <c r="L36" i="5" s="1"/>
  <c r="BP35" i="16"/>
  <c r="BQ35" i="16" s="1"/>
  <c r="EC31" i="16"/>
  <c r="CF35" i="16"/>
  <c r="L32" i="16"/>
  <c r="I36" i="5" s="1"/>
  <c r="BX34" i="16"/>
  <c r="BY34" i="16" s="1"/>
  <c r="BT35" i="16"/>
  <c r="CL35" i="16"/>
  <c r="CM35" i="16" s="1"/>
  <c r="CN35" i="16" s="1"/>
  <c r="BB35" i="16"/>
  <c r="O37" i="5"/>
  <c r="CX35" i="16"/>
  <c r="DB35" i="16" s="1"/>
  <c r="DC35" i="16" s="1"/>
  <c r="BJ34" i="16"/>
  <c r="C38" i="5"/>
  <c r="DZ34" i="16"/>
  <c r="EA34" i="16" s="1"/>
  <c r="BW35" i="16"/>
  <c r="AU35" i="16"/>
  <c r="BE35" i="16"/>
  <c r="BI35" i="16" s="1"/>
  <c r="BJ35" i="16" s="1"/>
  <c r="A39" i="5"/>
  <c r="B35" i="16"/>
  <c r="B39" i="5" s="1"/>
  <c r="DY35" i="16"/>
  <c r="D38" i="5"/>
  <c r="E38" i="5"/>
  <c r="F37" i="5" l="1"/>
  <c r="G37" i="5"/>
  <c r="N36" i="5"/>
  <c r="M33" i="16"/>
  <c r="N37" i="5" s="1"/>
  <c r="DE34" i="16"/>
  <c r="N34" i="16" s="1"/>
  <c r="M38" i="5" s="1"/>
  <c r="EC32" i="16"/>
  <c r="L33" i="16"/>
  <c r="I37" i="5" s="1"/>
  <c r="DD34" i="16"/>
  <c r="I34" i="16" s="1"/>
  <c r="J34" i="16" s="1"/>
  <c r="K34" i="16" s="1"/>
  <c r="BX35" i="16"/>
  <c r="BY35" i="16" s="1"/>
  <c r="DE35" i="16" s="1"/>
  <c r="O38" i="5"/>
  <c r="C39" i="5"/>
  <c r="DZ35" i="16"/>
  <c r="DZ36" i="16" s="1"/>
  <c r="D39" i="5"/>
  <c r="E39" i="5"/>
  <c r="DY36" i="16"/>
  <c r="O33" i="16" l="1"/>
  <c r="L37" i="5" s="1"/>
  <c r="F38" i="5"/>
  <c r="EC33" i="16"/>
  <c r="L34" i="16"/>
  <c r="EC34" i="16" s="1"/>
  <c r="G38" i="5"/>
  <c r="M34" i="16"/>
  <c r="O34" i="16" s="1"/>
  <c r="L38" i="5" s="1"/>
  <c r="DD35" i="16"/>
  <c r="DD36" i="16" s="1"/>
  <c r="DE36" i="16"/>
  <c r="N35" i="16"/>
  <c r="EA35" i="16"/>
  <c r="EA36" i="16" s="1"/>
  <c r="EA38" i="16" s="1"/>
  <c r="O39" i="5"/>
  <c r="I38" i="5" l="1"/>
  <c r="I35" i="16"/>
  <c r="J35" i="16" s="1"/>
  <c r="M35" i="16" s="1"/>
  <c r="N39" i="5" s="1"/>
  <c r="N38" i="5"/>
  <c r="N36" i="16"/>
  <c r="M39" i="5"/>
  <c r="M40" i="5" s="1"/>
  <c r="M43" i="5" s="1"/>
  <c r="D56" i="16"/>
  <c r="F39" i="5" l="1"/>
  <c r="F40" i="5" s="1"/>
  <c r="F43" i="5" s="1"/>
  <c r="N40" i="5"/>
  <c r="N43" i="5" s="1"/>
  <c r="I36" i="16"/>
  <c r="I47" i="5"/>
  <c r="G47" i="5"/>
  <c r="F56" i="16"/>
  <c r="O35" i="16"/>
  <c r="M36" i="16"/>
  <c r="K35" i="16"/>
  <c r="L35" i="16" s="1"/>
  <c r="J36" i="16"/>
  <c r="G39" i="5"/>
  <c r="G40" i="5" s="1"/>
  <c r="G43" i="5" s="1"/>
  <c r="O36" i="16" l="1"/>
  <c r="L39" i="5"/>
  <c r="L40" i="5" s="1"/>
  <c r="L43" i="5" s="1"/>
  <c r="I39" i="5"/>
  <c r="I40" i="5" s="1"/>
  <c r="I43" i="5" s="1"/>
  <c r="EC35" i="16"/>
  <c r="EC36" i="16" s="1"/>
  <c r="L36" i="16"/>
  <c r="D65" i="16" l="1"/>
  <c r="P47" i="5" s="1"/>
</calcChain>
</file>

<file path=xl/sharedStrings.xml><?xml version="1.0" encoding="utf-8"?>
<sst xmlns="http://schemas.openxmlformats.org/spreadsheetml/2006/main" count="1180" uniqueCount="753">
  <si>
    <t>入力シートの関数の構造</t>
    <rPh sb="0" eb="2">
      <t>ニュウリョク</t>
    </rPh>
    <rPh sb="6" eb="8">
      <t>カンスウ</t>
    </rPh>
    <rPh sb="9" eb="11">
      <t>コウゾウ</t>
    </rPh>
    <phoneticPr fontId="2"/>
  </si>
  <si>
    <t>④</t>
    <phoneticPr fontId="2"/>
  </si>
  <si>
    <t>休憩時間→</t>
    <rPh sb="0" eb="2">
      <t>キュウケイ</t>
    </rPh>
    <rPh sb="2" eb="4">
      <t>ジカン</t>
    </rPh>
    <phoneticPr fontId="2"/>
  </si>
  <si>
    <t>開始</t>
    <rPh sb="0" eb="2">
      <t>カイシ</t>
    </rPh>
    <phoneticPr fontId="2"/>
  </si>
  <si>
    <t>終了</t>
    <rPh sb="0" eb="2">
      <t>シュウリョウ</t>
    </rPh>
    <phoneticPr fontId="2"/>
  </si>
  <si>
    <t>出社</t>
    <rPh sb="0" eb="2">
      <t>シュッシャ</t>
    </rPh>
    <phoneticPr fontId="2"/>
  </si>
  <si>
    <t>その出社時刻で取り得る休憩</t>
    <rPh sb="2" eb="4">
      <t>シュッシャ</t>
    </rPh>
    <rPh sb="4" eb="6">
      <t>ジコク</t>
    </rPh>
    <rPh sb="7" eb="8">
      <t>ト</t>
    </rPh>
    <rPh sb="9" eb="10">
      <t>ウ</t>
    </rPh>
    <rPh sb="11" eb="13">
      <t>キュウケイ</t>
    </rPh>
    <phoneticPr fontId="2"/>
  </si>
  <si>
    <t>①</t>
    <phoneticPr fontId="2"/>
  </si>
  <si>
    <t>退社</t>
    <rPh sb="0" eb="2">
      <t>タイシャ</t>
    </rPh>
    <phoneticPr fontId="2"/>
  </si>
  <si>
    <t>その退社時刻で取り得る休憩</t>
    <rPh sb="2" eb="4">
      <t>タイシャ</t>
    </rPh>
    <rPh sb="4" eb="6">
      <t>ジコク</t>
    </rPh>
    <rPh sb="7" eb="8">
      <t>ト</t>
    </rPh>
    <rPh sb="9" eb="10">
      <t>ウ</t>
    </rPh>
    <rPh sb="11" eb="13">
      <t>キュウケイ</t>
    </rPh>
    <phoneticPr fontId="2"/>
  </si>
  <si>
    <t>②</t>
    <phoneticPr fontId="2"/>
  </si>
  <si>
    <t>実際の休憩時間の計算</t>
    <rPh sb="0" eb="2">
      <t>ジッサイ</t>
    </rPh>
    <rPh sb="3" eb="5">
      <t>キュウケイ</t>
    </rPh>
    <rPh sb="5" eb="7">
      <t>ジカン</t>
    </rPh>
    <rPh sb="8" eb="10">
      <t>ケイサン</t>
    </rPh>
    <phoneticPr fontId="2"/>
  </si>
  <si>
    <t>③</t>
    <phoneticPr fontId="2"/>
  </si>
  <si>
    <t>休憩不可</t>
    <rPh sb="0" eb="2">
      <t>キュウケイ</t>
    </rPh>
    <rPh sb="2" eb="4">
      <t>フカ</t>
    </rPh>
    <phoneticPr fontId="2"/>
  </si>
  <si>
    <t>（イ）</t>
    <phoneticPr fontId="2"/>
  </si>
  <si>
    <t>（ロ）</t>
    <phoneticPr fontId="2"/>
  </si>
  <si>
    <t>深夜業の時間帯の休憩</t>
    <rPh sb="0" eb="3">
      <t>シンヤギョウ</t>
    </rPh>
    <rPh sb="4" eb="7">
      <t>ジカンタイ</t>
    </rPh>
    <rPh sb="8" eb="10">
      <t>キュウケイ</t>
    </rPh>
    <phoneticPr fontId="2"/>
  </si>
  <si>
    <t>⑤</t>
    <phoneticPr fontId="2"/>
  </si>
  <si>
    <t>取得休憩</t>
    <rPh sb="0" eb="2">
      <t>シュトク</t>
    </rPh>
    <rPh sb="2" eb="4">
      <t>キュウケイ</t>
    </rPh>
    <phoneticPr fontId="2"/>
  </si>
  <si>
    <t>深夜外</t>
    <rPh sb="0" eb="2">
      <t>シンヤ</t>
    </rPh>
    <rPh sb="2" eb="3">
      <t>ガイ</t>
    </rPh>
    <phoneticPr fontId="2"/>
  </si>
  <si>
    <t>出社時刻と、休憩の開始終了時刻を比較</t>
    <rPh sb="0" eb="2">
      <t>シュッシャ</t>
    </rPh>
    <rPh sb="2" eb="4">
      <t>ジコク</t>
    </rPh>
    <rPh sb="6" eb="8">
      <t>キュウケイ</t>
    </rPh>
    <rPh sb="9" eb="11">
      <t>カイシ</t>
    </rPh>
    <rPh sb="11" eb="13">
      <t>シュウリョウ</t>
    </rPh>
    <rPh sb="13" eb="15">
      <t>ジコク</t>
    </rPh>
    <rPh sb="16" eb="18">
      <t>ヒカク</t>
    </rPh>
    <phoneticPr fontId="2"/>
  </si>
  <si>
    <t>退社時刻と、休憩の開始終了時刻を比較</t>
    <rPh sb="0" eb="2">
      <t>タイシャ</t>
    </rPh>
    <rPh sb="2" eb="4">
      <t>ジコク</t>
    </rPh>
    <rPh sb="6" eb="8">
      <t>キュウケイ</t>
    </rPh>
    <rPh sb="9" eb="11">
      <t>カイシ</t>
    </rPh>
    <rPh sb="11" eb="13">
      <t>シュウリョウ</t>
    </rPh>
    <rPh sb="13" eb="15">
      <t>ジコク</t>
    </rPh>
    <rPh sb="16" eb="18">
      <t>ヒカク</t>
    </rPh>
    <phoneticPr fontId="2"/>
  </si>
  <si>
    <t>出社時刻 &lt;= 休憩開始時刻　⇒　当該時間帯の休憩を取得することが可能　・・・"1"</t>
    <phoneticPr fontId="2"/>
  </si>
  <si>
    <t>退社時刻　 &gt;　休憩開始時刻　⇒　当該時間帯の休憩を取得することが可能　・・・"1"</t>
    <phoneticPr fontId="2"/>
  </si>
  <si>
    <t>出社時刻  &lt; 休憩終了時刻　⇒　当該時間帯の休憩を取得することが可能　・・・"1"</t>
    <rPh sb="10" eb="12">
      <t>シュウリョウ</t>
    </rPh>
    <phoneticPr fontId="2"/>
  </si>
  <si>
    <t>退社時刻　&gt;=　休憩終了時刻　⇒　当該時間帯の休憩を取得することが可能　・・・"1"</t>
    <rPh sb="10" eb="12">
      <t>シュウリョウ</t>
    </rPh>
    <phoneticPr fontId="2"/>
  </si>
  <si>
    <t>実際に取得した休憩時間の計算</t>
    <rPh sb="0" eb="2">
      <t>ジッサイ</t>
    </rPh>
    <rPh sb="3" eb="5">
      <t>シュトク</t>
    </rPh>
    <rPh sb="7" eb="9">
      <t>キュウケイ</t>
    </rPh>
    <rPh sb="9" eb="11">
      <t>ジカン</t>
    </rPh>
    <rPh sb="12" eb="14">
      <t>ケイサン</t>
    </rPh>
    <phoneticPr fontId="2"/>
  </si>
  <si>
    <t>深夜業の時間帯に休憩時間がどれだけ有るかの判定</t>
    <rPh sb="0" eb="2">
      <t>シンヤ</t>
    </rPh>
    <rPh sb="2" eb="3">
      <t>ギョウ</t>
    </rPh>
    <rPh sb="4" eb="6">
      <t>ジカン</t>
    </rPh>
    <rPh sb="6" eb="7">
      <t>タイ</t>
    </rPh>
    <rPh sb="8" eb="10">
      <t>キュウケイ</t>
    </rPh>
    <rPh sb="10" eb="12">
      <t>ジカン</t>
    </rPh>
    <rPh sb="17" eb="18">
      <t>ア</t>
    </rPh>
    <rPh sb="21" eb="23">
      <t>ハンテイ</t>
    </rPh>
    <phoneticPr fontId="2"/>
  </si>
  <si>
    <t>①と②のどちらか一方が　0　の場合、当該時間帯での休憩取得は不可能（＝FALSE）</t>
    <rPh sb="8" eb="10">
      <t>イッポウ</t>
    </rPh>
    <rPh sb="15" eb="17">
      <t>バアイ</t>
    </rPh>
    <rPh sb="18" eb="20">
      <t>トウガイ</t>
    </rPh>
    <rPh sb="20" eb="22">
      <t>ジカン</t>
    </rPh>
    <rPh sb="22" eb="23">
      <t>タイ</t>
    </rPh>
    <rPh sb="25" eb="27">
      <t>キュウケイ</t>
    </rPh>
    <rPh sb="27" eb="29">
      <t>シュトク</t>
    </rPh>
    <rPh sb="30" eb="33">
      <t>フカノウ</t>
    </rPh>
    <phoneticPr fontId="2"/>
  </si>
  <si>
    <t>各休憩時間の開始終了時刻について</t>
    <rPh sb="0" eb="1">
      <t>カク</t>
    </rPh>
    <rPh sb="1" eb="3">
      <t>キュウケイ</t>
    </rPh>
    <rPh sb="3" eb="5">
      <t>ジカン</t>
    </rPh>
    <rPh sb="6" eb="8">
      <t>カイシ</t>
    </rPh>
    <rPh sb="8" eb="10">
      <t>シュウリョウ</t>
    </rPh>
    <rPh sb="10" eb="12">
      <t>ジコク</t>
    </rPh>
    <phoneticPr fontId="2"/>
  </si>
  <si>
    <t>（開始/終了）＝（FALSE/FALSE） ⇒ 休憩時間  =　0</t>
    <rPh sb="1" eb="3">
      <t>カイシ</t>
    </rPh>
    <rPh sb="4" eb="6">
      <t>シュウリョウ</t>
    </rPh>
    <rPh sb="24" eb="26">
      <t>キュウケイ</t>
    </rPh>
    <rPh sb="26" eb="28">
      <t>ジカン</t>
    </rPh>
    <phoneticPr fontId="2"/>
  </si>
  <si>
    <t>＝NOT（休憩開始終了時刻 &lt; TIMEVALUE("22:00")）　で判定する。</t>
    <rPh sb="5" eb="7">
      <t>キュウケイ</t>
    </rPh>
    <rPh sb="7" eb="9">
      <t>カイシ</t>
    </rPh>
    <rPh sb="9" eb="11">
      <t>シュウリョウ</t>
    </rPh>
    <rPh sb="11" eb="13">
      <t>ジコク</t>
    </rPh>
    <rPh sb="37" eb="39">
      <t>ハンテイ</t>
    </rPh>
    <phoneticPr fontId="2"/>
  </si>
  <si>
    <t>（開始/終了）＝（TRUE / TRUE） ⇒ 休憩時間　= 休憩終了時刻　-　休憩開始時刻</t>
    <rPh sb="1" eb="3">
      <t>カイシ</t>
    </rPh>
    <rPh sb="4" eb="6">
      <t>シュウリョウ</t>
    </rPh>
    <rPh sb="24" eb="26">
      <t>キュウケイ</t>
    </rPh>
    <rPh sb="26" eb="28">
      <t>ジカン</t>
    </rPh>
    <rPh sb="31" eb="33">
      <t>キュウケイ</t>
    </rPh>
    <rPh sb="33" eb="35">
      <t>シュウリョウ</t>
    </rPh>
    <rPh sb="35" eb="37">
      <t>ジコク</t>
    </rPh>
    <rPh sb="40" eb="42">
      <t>キュウケイ</t>
    </rPh>
    <rPh sb="42" eb="44">
      <t>カイシ</t>
    </rPh>
    <rPh sb="44" eb="46">
      <t>ジコク</t>
    </rPh>
    <phoneticPr fontId="2"/>
  </si>
  <si>
    <t>**判定**</t>
    <rPh sb="2" eb="4">
      <t>ハンテイ</t>
    </rPh>
    <phoneticPr fontId="2"/>
  </si>
  <si>
    <t>（開始/終了）＝（FALSE/ TRUE） ⇒ 休憩時間　= 休憩終了時刻　-　出社時刻　・・・（イ）</t>
    <rPh sb="1" eb="3">
      <t>カイシ</t>
    </rPh>
    <rPh sb="4" eb="6">
      <t>シュウリョウ</t>
    </rPh>
    <rPh sb="24" eb="26">
      <t>キュウケイ</t>
    </rPh>
    <rPh sb="26" eb="28">
      <t>ジカン</t>
    </rPh>
    <rPh sb="31" eb="33">
      <t>キュウケイ</t>
    </rPh>
    <rPh sb="33" eb="35">
      <t>シュウリョウ</t>
    </rPh>
    <rPh sb="35" eb="37">
      <t>ジコク</t>
    </rPh>
    <rPh sb="40" eb="42">
      <t>シュッシャ</t>
    </rPh>
    <rPh sb="42" eb="44">
      <t>ジコク</t>
    </rPh>
    <phoneticPr fontId="2"/>
  </si>
  <si>
    <t>TRUE　⇒　休憩開始終了時刻が22時以降である</t>
    <rPh sb="7" eb="9">
      <t>キュウケイ</t>
    </rPh>
    <rPh sb="9" eb="11">
      <t>カイシ</t>
    </rPh>
    <rPh sb="11" eb="13">
      <t>シュウリョウ</t>
    </rPh>
    <rPh sb="13" eb="15">
      <t>ジコク</t>
    </rPh>
    <rPh sb="18" eb="19">
      <t>ジ</t>
    </rPh>
    <rPh sb="19" eb="21">
      <t>イコウ</t>
    </rPh>
    <phoneticPr fontId="2"/>
  </si>
  <si>
    <t>（開始/終了）＝（上記以外）[＝（TRUE /FALSE）] ⇒ 休憩時間　= 退社時刻　-　休憩開始時刻　・・・（ロ）</t>
    <rPh sb="1" eb="3">
      <t>カイシ</t>
    </rPh>
    <rPh sb="4" eb="6">
      <t>シュウリョウ</t>
    </rPh>
    <rPh sb="9" eb="11">
      <t>ジョウキ</t>
    </rPh>
    <rPh sb="11" eb="13">
      <t>イガイ</t>
    </rPh>
    <rPh sb="33" eb="35">
      <t>キュウケイ</t>
    </rPh>
    <rPh sb="35" eb="37">
      <t>ジカン</t>
    </rPh>
    <rPh sb="40" eb="42">
      <t>タイシャ</t>
    </rPh>
    <rPh sb="42" eb="44">
      <t>ジコク</t>
    </rPh>
    <rPh sb="47" eb="49">
      <t>キュウケイ</t>
    </rPh>
    <rPh sb="49" eb="51">
      <t>カイシ</t>
    </rPh>
    <rPh sb="51" eb="53">
      <t>ジコク</t>
    </rPh>
    <phoneticPr fontId="2"/>
  </si>
  <si>
    <t>FALSE ⇒ 休憩開始終了時刻が22時前である</t>
    <rPh sb="8" eb="10">
      <t>キュウケイ</t>
    </rPh>
    <rPh sb="10" eb="12">
      <t>カイシ</t>
    </rPh>
    <rPh sb="12" eb="14">
      <t>シュウリョウ</t>
    </rPh>
    <rPh sb="14" eb="16">
      <t>ジコク</t>
    </rPh>
    <rPh sb="19" eb="20">
      <t>ジ</t>
    </rPh>
    <rPh sb="20" eb="21">
      <t>マエ</t>
    </rPh>
    <phoneticPr fontId="2"/>
  </si>
  <si>
    <t>（開始/終了）＝（FALSE/FALSE）　⇒　深夜休憩時間  =　0</t>
    <rPh sb="1" eb="3">
      <t>カイシ</t>
    </rPh>
    <rPh sb="4" eb="6">
      <t>シュウリョウ</t>
    </rPh>
    <rPh sb="24" eb="26">
      <t>シンヤ</t>
    </rPh>
    <rPh sb="26" eb="28">
      <t>キュウケイ</t>
    </rPh>
    <rPh sb="28" eb="30">
      <t>ジカン</t>
    </rPh>
    <phoneticPr fontId="2"/>
  </si>
  <si>
    <t>（開始/終了）＝（FALSE/ TRUE）　⇒　深夜休憩時間  =　休憩終了時刻 - 22：00　【TIMEVALUE("22:00")】</t>
    <rPh sb="1" eb="3">
      <t>カイシ</t>
    </rPh>
    <rPh sb="4" eb="6">
      <t>シュウリョウ</t>
    </rPh>
    <rPh sb="24" eb="26">
      <t>シンヤ</t>
    </rPh>
    <rPh sb="26" eb="28">
      <t>キュウケイ</t>
    </rPh>
    <rPh sb="28" eb="30">
      <t>ジカン</t>
    </rPh>
    <rPh sb="34" eb="36">
      <t>キュウケイ</t>
    </rPh>
    <rPh sb="36" eb="38">
      <t>シュウリョウ</t>
    </rPh>
    <rPh sb="38" eb="40">
      <t>ジコク</t>
    </rPh>
    <phoneticPr fontId="2"/>
  </si>
  <si>
    <t>（開始/終了）＝（上記以外）（＝（TRUE /TRUE））　⇒　深夜休憩時間　= 休憩終了時刻　-　休憩開始時刻</t>
    <rPh sb="1" eb="3">
      <t>カイシ</t>
    </rPh>
    <rPh sb="4" eb="6">
      <t>シュウリョウ</t>
    </rPh>
    <rPh sb="9" eb="11">
      <t>ジョウキ</t>
    </rPh>
    <rPh sb="11" eb="13">
      <t>イガイ</t>
    </rPh>
    <rPh sb="32" eb="34">
      <t>シンヤ</t>
    </rPh>
    <rPh sb="34" eb="36">
      <t>キュウケイ</t>
    </rPh>
    <rPh sb="36" eb="38">
      <t>ジカン</t>
    </rPh>
    <rPh sb="41" eb="43">
      <t>キュウケイ</t>
    </rPh>
    <rPh sb="43" eb="45">
      <t>シュウリョウ</t>
    </rPh>
    <rPh sb="45" eb="47">
      <t>ジコク</t>
    </rPh>
    <rPh sb="50" eb="52">
      <t>キュウケイ</t>
    </rPh>
    <rPh sb="52" eb="54">
      <t>カイシ</t>
    </rPh>
    <rPh sb="54" eb="56">
      <t>ジコク</t>
    </rPh>
    <phoneticPr fontId="2"/>
  </si>
  <si>
    <t>※（TRUE/FALSE）はありえない</t>
    <phoneticPr fontId="2"/>
  </si>
  <si>
    <t>実際に取得した深夜休憩時間の計算</t>
    <rPh sb="0" eb="2">
      <t>ジッサイ</t>
    </rPh>
    <rPh sb="3" eb="5">
      <t>シュトク</t>
    </rPh>
    <rPh sb="7" eb="9">
      <t>シンヤ</t>
    </rPh>
    <rPh sb="9" eb="11">
      <t>キュウケイ</t>
    </rPh>
    <rPh sb="11" eb="13">
      <t>ジカン</t>
    </rPh>
    <rPh sb="14" eb="16">
      <t>ケイサン</t>
    </rPh>
    <phoneticPr fontId="2"/>
  </si>
  <si>
    <t>実際取得休憩時間　-　休憩開始時刻から22：00までの時間</t>
    <rPh sb="0" eb="2">
      <t>ジッサイ</t>
    </rPh>
    <rPh sb="2" eb="4">
      <t>シュトク</t>
    </rPh>
    <rPh sb="4" eb="6">
      <t>キュウケイ</t>
    </rPh>
    <rPh sb="6" eb="8">
      <t>ジカン</t>
    </rPh>
    <rPh sb="11" eb="13">
      <t>キュウケイ</t>
    </rPh>
    <rPh sb="13" eb="15">
      <t>カイシ</t>
    </rPh>
    <rPh sb="15" eb="17">
      <t>ジコク</t>
    </rPh>
    <rPh sb="27" eb="29">
      <t>ジカン</t>
    </rPh>
    <phoneticPr fontId="2"/>
  </si>
  <si>
    <t>=</t>
    <phoneticPr fontId="2"/>
  </si>
  <si>
    <t>　遅刻・早退の判定</t>
    <rPh sb="1" eb="3">
      <t>チコク</t>
    </rPh>
    <rPh sb="4" eb="6">
      <t>ソウタイ</t>
    </rPh>
    <rPh sb="7" eb="9">
      <t>ハンテイ</t>
    </rPh>
    <phoneticPr fontId="2"/>
  </si>
  <si>
    <t>日付欄</t>
    <rPh sb="0" eb="2">
      <t>ヒヅケ</t>
    </rPh>
    <rPh sb="2" eb="3">
      <t>ラン</t>
    </rPh>
    <phoneticPr fontId="2"/>
  </si>
  <si>
    <t>実働</t>
    <rPh sb="0" eb="2">
      <t>ジツドウ</t>
    </rPh>
    <phoneticPr fontId="2"/>
  </si>
  <si>
    <t>所定時間</t>
    <rPh sb="0" eb="2">
      <t>ショテイ</t>
    </rPh>
    <rPh sb="2" eb="4">
      <t>ジカン</t>
    </rPh>
    <phoneticPr fontId="2"/>
  </si>
  <si>
    <t>始業時刻</t>
    <rPh sb="0" eb="2">
      <t>シギョウ</t>
    </rPh>
    <rPh sb="2" eb="4">
      <t>ジコク</t>
    </rPh>
    <phoneticPr fontId="2"/>
  </si>
  <si>
    <t>遅早免除</t>
    <rPh sb="0" eb="1">
      <t>チ</t>
    </rPh>
    <rPh sb="1" eb="2">
      <t>ハヤ</t>
    </rPh>
    <rPh sb="2" eb="4">
      <t>メンジョ</t>
    </rPh>
    <phoneticPr fontId="2"/>
  </si>
  <si>
    <t>A5</t>
    <phoneticPr fontId="2"/>
  </si>
  <si>
    <t>D5</t>
    <phoneticPr fontId="2"/>
  </si>
  <si>
    <t>J5</t>
    <phoneticPr fontId="2"/>
  </si>
  <si>
    <t>E2</t>
    <phoneticPr fontId="2"/>
  </si>
  <si>
    <t>F2</t>
    <phoneticPr fontId="2"/>
  </si>
  <si>
    <t>P5</t>
    <phoneticPr fontId="2"/>
  </si>
  <si>
    <t>Yes</t>
    <phoneticPr fontId="2"/>
  </si>
  <si>
    <t>日付＝"",土日祝日　or　勤怠入力欄＝有給,欠勤,振休,休出,予測　or　遅刻免除欄＝1</t>
    <rPh sb="0" eb="2">
      <t>ヒヅケ</t>
    </rPh>
    <rPh sb="6" eb="8">
      <t>ドニチ</t>
    </rPh>
    <rPh sb="8" eb="10">
      <t>シュクジツ</t>
    </rPh>
    <rPh sb="14" eb="16">
      <t>キンタイ</t>
    </rPh>
    <rPh sb="16" eb="18">
      <t>ニュウリョク</t>
    </rPh>
    <rPh sb="18" eb="19">
      <t>ラン</t>
    </rPh>
    <rPh sb="20" eb="22">
      <t>ユウキュウ</t>
    </rPh>
    <rPh sb="23" eb="25">
      <t>ケッキン</t>
    </rPh>
    <rPh sb="26" eb="27">
      <t>フ</t>
    </rPh>
    <rPh sb="27" eb="28">
      <t>キュウ</t>
    </rPh>
    <rPh sb="29" eb="31">
      <t>キュウシュツ</t>
    </rPh>
    <rPh sb="32" eb="34">
      <t>ヨソク</t>
    </rPh>
    <rPh sb="38" eb="40">
      <t>チコク</t>
    </rPh>
    <rPh sb="40" eb="42">
      <t>メンジョ</t>
    </rPh>
    <rPh sb="42" eb="43">
      <t>ラン</t>
    </rPh>
    <phoneticPr fontId="2"/>
  </si>
  <si>
    <t>0：00　遅刻ではない</t>
    <rPh sb="5" eb="7">
      <t>チコク</t>
    </rPh>
    <phoneticPr fontId="2"/>
  </si>
  <si>
    <t>No</t>
    <phoneticPr fontId="2"/>
  </si>
  <si>
    <t>始業時刻 &lt; 出社時刻</t>
    <rPh sb="0" eb="2">
      <t>シギョウ</t>
    </rPh>
    <rPh sb="2" eb="4">
      <t>ジコク</t>
    </rPh>
    <rPh sb="7" eb="9">
      <t>シュッシャ</t>
    </rPh>
    <rPh sb="9" eb="11">
      <t>ジコク</t>
    </rPh>
    <phoneticPr fontId="2"/>
  </si>
  <si>
    <t>　8：00 - 実働 &lt; 0</t>
    <rPh sb="8" eb="10">
      <t>ジツドウ</t>
    </rPh>
    <phoneticPr fontId="2"/>
  </si>
  <si>
    <t>出社時刻　-　始業時刻</t>
    <rPh sb="0" eb="2">
      <t>シュッシャ</t>
    </rPh>
    <rPh sb="2" eb="4">
      <t>ジコク</t>
    </rPh>
    <rPh sb="7" eb="9">
      <t>シギョウ</t>
    </rPh>
    <rPh sb="9" eb="11">
      <t>ジコク</t>
    </rPh>
    <phoneticPr fontId="2"/>
  </si>
  <si>
    <t>＝遅刻時間</t>
    <rPh sb="1" eb="3">
      <t>チコク</t>
    </rPh>
    <rPh sb="3" eb="5">
      <t>ジカン</t>
    </rPh>
    <phoneticPr fontId="2"/>
  </si>
  <si>
    <t>　＝遅刻してる</t>
    <rPh sb="2" eb="4">
      <t>チコク</t>
    </rPh>
    <phoneticPr fontId="2"/>
  </si>
  <si>
    <t>（遅刻して、沢山働いた）</t>
    <rPh sb="1" eb="3">
      <t>チコク</t>
    </rPh>
    <rPh sb="6" eb="8">
      <t>タクサン</t>
    </rPh>
    <rPh sb="8" eb="9">
      <t>ハタラ</t>
    </rPh>
    <phoneticPr fontId="2"/>
  </si>
  <si>
    <t>No（＝　8：00　&gt;　実働　）</t>
    <rPh sb="12" eb="14">
      <t>ジツドウ</t>
    </rPh>
    <phoneticPr fontId="2"/>
  </si>
  <si>
    <t>（8：00 - 実働） &gt; （出社時刻 - 始業時刻）</t>
    <rPh sb="8" eb="10">
      <t>ジツドウ</t>
    </rPh>
    <rPh sb="15" eb="17">
      <t>シュッシャ</t>
    </rPh>
    <rPh sb="17" eb="19">
      <t>ジコク</t>
    </rPh>
    <rPh sb="22" eb="24">
      <t>シギョウ</t>
    </rPh>
    <rPh sb="24" eb="26">
      <t>ジコク</t>
    </rPh>
    <phoneticPr fontId="2"/>
  </si>
  <si>
    <t>8：00 - 実働</t>
    <rPh sb="7" eb="9">
      <t>ジツドウ</t>
    </rPh>
    <phoneticPr fontId="2"/>
  </si>
  <si>
    <t>（実働の8.0ｈからの不足の方が</t>
    <rPh sb="1" eb="3">
      <t>ジツドウ</t>
    </rPh>
    <rPh sb="11" eb="13">
      <t>フソク</t>
    </rPh>
    <rPh sb="14" eb="15">
      <t>ホウ</t>
    </rPh>
    <phoneticPr fontId="2"/>
  </si>
  <si>
    <t>　　　　　　　　　　純粋な遅刻時間より大きい）</t>
    <rPh sb="13" eb="15">
      <t>チコク</t>
    </rPh>
    <rPh sb="15" eb="17">
      <t>ジカン</t>
    </rPh>
    <rPh sb="19" eb="20">
      <t>オオ</t>
    </rPh>
    <phoneticPr fontId="2"/>
  </si>
  <si>
    <t>（遅刻ではない）</t>
    <rPh sb="1" eb="3">
      <t>チコク</t>
    </rPh>
    <phoneticPr fontId="2"/>
  </si>
  <si>
    <t>出社時刻 - 始業時刻</t>
    <rPh sb="0" eb="2">
      <t>シュッシャ</t>
    </rPh>
    <rPh sb="2" eb="4">
      <t>ジコク</t>
    </rPh>
    <rPh sb="7" eb="9">
      <t>シギョウ</t>
    </rPh>
    <rPh sb="9" eb="11">
      <t>ジコク</t>
    </rPh>
    <phoneticPr fontId="2"/>
  </si>
  <si>
    <t>（ 8：00 - 実働 &gt; 0 ）　かつ　（ 実働 &lt; 所定時間 ）</t>
    <rPh sb="9" eb="11">
      <t>ジツドウ</t>
    </rPh>
    <rPh sb="23" eb="25">
      <t>ジツドウ</t>
    </rPh>
    <rPh sb="28" eb="30">
      <t>ショテイ</t>
    </rPh>
    <rPh sb="30" eb="32">
      <t>ジカン</t>
    </rPh>
    <phoneticPr fontId="2"/>
  </si>
  <si>
    <t>＝早退時間</t>
    <rPh sb="1" eb="3">
      <t>ソウタイ</t>
    </rPh>
    <rPh sb="3" eb="5">
      <t>ジカン</t>
    </rPh>
    <phoneticPr fontId="2"/>
  </si>
  <si>
    <t>　＝早退してる</t>
    <rPh sb="2" eb="4">
      <t>ソウタイ</t>
    </rPh>
    <phoneticPr fontId="2"/>
  </si>
  <si>
    <t>＝遅刻でも早退でもない</t>
    <rPh sb="1" eb="3">
      <t>チコク</t>
    </rPh>
    <rPh sb="5" eb="7">
      <t>ソウタイ</t>
    </rPh>
    <phoneticPr fontId="2"/>
  </si>
  <si>
    <t>■L5セル（遅早時間の計算セル）■</t>
    <rPh sb="6" eb="8">
      <t>チソウ</t>
    </rPh>
    <rPh sb="8" eb="10">
      <t>ジカン</t>
    </rPh>
    <rPh sb="11" eb="13">
      <t>ケイサン</t>
    </rPh>
    <phoneticPr fontId="2"/>
  </si>
  <si>
    <t>遅早時間</t>
    <rPh sb="0" eb="2">
      <t>チソウ</t>
    </rPh>
    <rPh sb="2" eb="4">
      <t>ジカン</t>
    </rPh>
    <phoneticPr fontId="2"/>
  </si>
  <si>
    <t>IF</t>
    <phoneticPr fontId="2"/>
  </si>
  <si>
    <t>$N$2="常用雇用"</t>
    <rPh sb="6" eb="8">
      <t>ジョウヨウ</t>
    </rPh>
    <rPh sb="8" eb="10">
      <t>コヨウ</t>
    </rPh>
    <phoneticPr fontId="2"/>
  </si>
  <si>
    <t>TIME(8,0,0)-J5</t>
    <phoneticPr fontId="2"/>
  </si>
  <si>
    <t>K5 &gt; 0　⇒　実働時間が8ｈに満たない（Ex.8ｈ-実働6h=2h）</t>
    <rPh sb="9" eb="11">
      <t>ジツドウ</t>
    </rPh>
    <rPh sb="11" eb="13">
      <t>ジカン</t>
    </rPh>
    <rPh sb="17" eb="18">
      <t>ミ</t>
    </rPh>
    <rPh sb="28" eb="30">
      <t>ジツドウ</t>
    </rPh>
    <phoneticPr fontId="2"/>
  </si>
  <si>
    <t>作業セル</t>
    <rPh sb="0" eb="2">
      <t>サギョウ</t>
    </rPh>
    <phoneticPr fontId="2"/>
  </si>
  <si>
    <t>K5&lt;=0　⇒　実働時間が8ｈ以上（Ex.8ｈ-実働10h=▲2h）</t>
    <rPh sb="8" eb="10">
      <t>ジツドウ</t>
    </rPh>
    <rPh sb="10" eb="12">
      <t>ジカン</t>
    </rPh>
    <rPh sb="15" eb="17">
      <t>イジョウ</t>
    </rPh>
    <rPh sb="24" eb="26">
      <t>ジツドウ</t>
    </rPh>
    <phoneticPr fontId="2"/>
  </si>
  <si>
    <t>OR</t>
    <phoneticPr fontId="2"/>
  </si>
  <si>
    <t>$J $2=</t>
    <phoneticPr fontId="2"/>
  </si>
  <si>
    <t>"営業部"</t>
    <rPh sb="1" eb="3">
      <t>エイギョウ</t>
    </rPh>
    <rPh sb="3" eb="4">
      <t>ブ</t>
    </rPh>
    <phoneticPr fontId="2"/>
  </si>
  <si>
    <t>★</t>
    <phoneticPr fontId="2"/>
  </si>
  <si>
    <t>　　　※N2=就業形態</t>
    <rPh sb="7" eb="9">
      <t>シュウギョウ</t>
    </rPh>
    <rPh sb="9" eb="11">
      <t>ケイタイ</t>
    </rPh>
    <phoneticPr fontId="2"/>
  </si>
  <si>
    <t>$M $2=</t>
    <phoneticPr fontId="2"/>
  </si>
  <si>
    <t>"取締役"</t>
    <rPh sb="1" eb="4">
      <t>トリシマリヤク</t>
    </rPh>
    <phoneticPr fontId="2"/>
  </si>
  <si>
    <t>　　　 　（常用雇用orパート）</t>
    <rPh sb="6" eb="8">
      <t>ジョウヨウ</t>
    </rPh>
    <rPh sb="8" eb="10">
      <t>コヨウ</t>
    </rPh>
    <phoneticPr fontId="2"/>
  </si>
  <si>
    <t>$N$2="パート"</t>
    <phoneticPr fontId="2"/>
  </si>
  <si>
    <t>$E$2-J5</t>
    <phoneticPr fontId="2"/>
  </si>
  <si>
    <t>K5 &gt; 0　⇒　実働時間が所定稼動時間に満たない（Ex.7ｈ-実働6h=1h）</t>
    <rPh sb="9" eb="11">
      <t>ジツドウ</t>
    </rPh>
    <rPh sb="11" eb="13">
      <t>ジカン</t>
    </rPh>
    <rPh sb="14" eb="16">
      <t>ショテイ</t>
    </rPh>
    <rPh sb="16" eb="18">
      <t>カドウ</t>
    </rPh>
    <rPh sb="18" eb="20">
      <t>ジカン</t>
    </rPh>
    <rPh sb="21" eb="22">
      <t>ミ</t>
    </rPh>
    <rPh sb="32" eb="34">
      <t>ジツドウ</t>
    </rPh>
    <phoneticPr fontId="2"/>
  </si>
  <si>
    <t>"部長"</t>
    <rPh sb="1" eb="3">
      <t>ブチョウ</t>
    </rPh>
    <phoneticPr fontId="2"/>
  </si>
  <si>
    <t>　　　　J5=その日の実働時間</t>
    <rPh sb="9" eb="10">
      <t>ヒ</t>
    </rPh>
    <rPh sb="11" eb="13">
      <t>ジツドウ</t>
    </rPh>
    <rPh sb="13" eb="15">
      <t>ジカン</t>
    </rPh>
    <phoneticPr fontId="2"/>
  </si>
  <si>
    <t>K5&lt;=0　⇒　実働時間が所定稼動時間以上（Ex.7ｈ-実働9h=▲2h）</t>
    <rPh sb="8" eb="10">
      <t>ジツドウ</t>
    </rPh>
    <rPh sb="10" eb="12">
      <t>ジカン</t>
    </rPh>
    <rPh sb="13" eb="15">
      <t>ショテイ</t>
    </rPh>
    <rPh sb="15" eb="17">
      <t>カドウ</t>
    </rPh>
    <rPh sb="17" eb="19">
      <t>ジカン</t>
    </rPh>
    <rPh sb="19" eb="21">
      <t>イジョウ</t>
    </rPh>
    <rPh sb="28" eb="30">
      <t>ジツドウ</t>
    </rPh>
    <phoneticPr fontId="2"/>
  </si>
  <si>
    <t>"次長"</t>
    <rPh sb="1" eb="3">
      <t>ジチョウ</t>
    </rPh>
    <phoneticPr fontId="2"/>
  </si>
  <si>
    <t>A5=</t>
    <phoneticPr fontId="2"/>
  </si>
  <si>
    <t>"　　"</t>
    <phoneticPr fontId="2"/>
  </si>
  <si>
    <t>$F$2&lt;E5</t>
    <phoneticPr fontId="2"/>
  </si>
  <si>
    <r>
      <t>　K5</t>
    </r>
    <r>
      <rPr>
        <sz val="11"/>
        <rFont val="ＭＳ Ｐゴシック"/>
        <family val="3"/>
        <charset val="128"/>
      </rPr>
      <t>　&lt;0</t>
    </r>
    <phoneticPr fontId="2"/>
  </si>
  <si>
    <t>E5-$F$2</t>
    <phoneticPr fontId="2"/>
  </si>
  <si>
    <t>遅刻はしたけど、所定稼動時間</t>
    <rPh sb="0" eb="2">
      <t>チコク</t>
    </rPh>
    <rPh sb="8" eb="10">
      <t>ショテイ</t>
    </rPh>
    <rPh sb="10" eb="12">
      <t>カドウ</t>
    </rPh>
    <rPh sb="12" eb="14">
      <t>ジカン</t>
    </rPh>
    <phoneticPr fontId="2"/>
  </si>
  <si>
    <t>　　　　E2=所定稼働時間</t>
    <rPh sb="7" eb="9">
      <t>ショテイ</t>
    </rPh>
    <rPh sb="9" eb="11">
      <t>カドウ</t>
    </rPh>
    <rPh sb="11" eb="13">
      <t>ジカン</t>
    </rPh>
    <phoneticPr fontId="2"/>
  </si>
  <si>
    <t>"課長"</t>
    <rPh sb="1" eb="3">
      <t>カチョウ</t>
    </rPh>
    <phoneticPr fontId="2"/>
  </si>
  <si>
    <t>B5=</t>
    <phoneticPr fontId="2"/>
  </si>
  <si>
    <t>"土"</t>
    <rPh sb="1" eb="2">
      <t>ツチ</t>
    </rPh>
    <phoneticPr fontId="2"/>
  </si>
  <si>
    <t>上回って残業をしたケース</t>
    <rPh sb="0" eb="2">
      <t>ウワマワ</t>
    </rPh>
    <rPh sb="4" eb="6">
      <t>ザンギョウ</t>
    </rPh>
    <phoneticPr fontId="2"/>
  </si>
  <si>
    <t>"日"</t>
    <rPh sb="1" eb="2">
      <t>ニチ</t>
    </rPh>
    <phoneticPr fontId="2"/>
  </si>
  <si>
    <t>式K5&lt;0は単に残業</t>
    <rPh sb="0" eb="1">
      <t>シキ</t>
    </rPh>
    <rPh sb="6" eb="7">
      <t>タン</t>
    </rPh>
    <rPh sb="8" eb="10">
      <t>ザンギョウ</t>
    </rPh>
    <phoneticPr fontId="2"/>
  </si>
  <si>
    <t>≪セルの内容≫</t>
    <rPh sb="4" eb="6">
      <t>ナイヨウ</t>
    </rPh>
    <phoneticPr fontId="2"/>
  </si>
  <si>
    <t>C5=</t>
    <phoneticPr fontId="2"/>
  </si>
  <si>
    <t>"祝"</t>
    <rPh sb="1" eb="2">
      <t>シュク</t>
    </rPh>
    <phoneticPr fontId="2"/>
  </si>
  <si>
    <t>遅刻した</t>
    <rPh sb="0" eb="2">
      <t>チコク</t>
    </rPh>
    <phoneticPr fontId="2"/>
  </si>
  <si>
    <t>したか？を聞いている</t>
    <rPh sb="5" eb="6">
      <t>キ</t>
    </rPh>
    <phoneticPr fontId="2"/>
  </si>
  <si>
    <t>ズバリ遅刻した時間を遅刻時間として計算させる</t>
    <rPh sb="3" eb="5">
      <t>チコク</t>
    </rPh>
    <rPh sb="7" eb="9">
      <t>ジカン</t>
    </rPh>
    <rPh sb="10" eb="12">
      <t>チコク</t>
    </rPh>
    <rPh sb="12" eb="14">
      <t>ジカン</t>
    </rPh>
    <rPh sb="17" eb="19">
      <t>ケイサン</t>
    </rPh>
    <phoneticPr fontId="2"/>
  </si>
  <si>
    <t>J2=所属</t>
    <rPh sb="3" eb="5">
      <t>ショゾク</t>
    </rPh>
    <phoneticPr fontId="2"/>
  </si>
  <si>
    <t>R5=</t>
    <phoneticPr fontId="2"/>
  </si>
  <si>
    <t>だけ。但し、この前段階</t>
    <rPh sb="3" eb="4">
      <t>タダ</t>
    </rPh>
    <rPh sb="8" eb="11">
      <t>ゼンダンカイ</t>
    </rPh>
    <phoneticPr fontId="2"/>
  </si>
  <si>
    <t>M2=役職</t>
    <rPh sb="3" eb="5">
      <t>ヤクショク</t>
    </rPh>
    <phoneticPr fontId="2"/>
  </si>
  <si>
    <t>S5=</t>
    <phoneticPr fontId="2"/>
  </si>
  <si>
    <t>※F2=所定始業時刻</t>
    <rPh sb="4" eb="6">
      <t>ショテイ</t>
    </rPh>
    <rPh sb="6" eb="8">
      <t>シギョウ</t>
    </rPh>
    <rPh sb="8" eb="10">
      <t>ジコク</t>
    </rPh>
    <phoneticPr fontId="2"/>
  </si>
  <si>
    <t>で遅刻したと判定されて</t>
    <rPh sb="1" eb="3">
      <t>チコク</t>
    </rPh>
    <rPh sb="6" eb="8">
      <t>ハンテイ</t>
    </rPh>
    <phoneticPr fontId="2"/>
  </si>
  <si>
    <t>T5=</t>
    <phoneticPr fontId="2"/>
  </si>
  <si>
    <t>　 E5=当日の出社時刻</t>
    <rPh sb="5" eb="7">
      <t>トウジツ</t>
    </rPh>
    <rPh sb="8" eb="10">
      <t>シュッシャ</t>
    </rPh>
    <rPh sb="10" eb="12">
      <t>ジコク</t>
    </rPh>
    <phoneticPr fontId="2"/>
  </si>
  <si>
    <t>はいるけれど</t>
    <phoneticPr fontId="2"/>
  </si>
  <si>
    <t>K5≧0つまり、遅刻して且つその日の</t>
    <rPh sb="8" eb="10">
      <t>チコク</t>
    </rPh>
    <rPh sb="12" eb="13">
      <t>カ</t>
    </rPh>
    <rPh sb="16" eb="17">
      <t>ヒ</t>
    </rPh>
    <phoneticPr fontId="2"/>
  </si>
  <si>
    <t>K5 &gt; E5-$F$2</t>
    <phoneticPr fontId="2"/>
  </si>
  <si>
    <t>K5</t>
    <phoneticPr fontId="2"/>
  </si>
  <si>
    <t>実働が8ｈに足りない時間を</t>
    <rPh sb="0" eb="2">
      <t>ジツドウ</t>
    </rPh>
    <rPh sb="6" eb="7">
      <t>タ</t>
    </rPh>
    <rPh sb="10" eb="12">
      <t>ジカン</t>
    </rPh>
    <phoneticPr fontId="2"/>
  </si>
  <si>
    <t>　15分遅刻して、6：00労働した。∴2時間稼動不足生じている</t>
    <rPh sb="3" eb="4">
      <t>フン</t>
    </rPh>
    <rPh sb="4" eb="6">
      <t>チコク</t>
    </rPh>
    <rPh sb="13" eb="15">
      <t>ロウドウ</t>
    </rPh>
    <phoneticPr fontId="2"/>
  </si>
  <si>
    <t>A5=日付</t>
    <rPh sb="3" eb="5">
      <t>ヒヅケ</t>
    </rPh>
    <phoneticPr fontId="2"/>
  </si>
  <si>
    <t>U5=</t>
    <phoneticPr fontId="2"/>
  </si>
  <si>
    <t>実働時間が8ｈ（常用雇用）に満たないケース</t>
    <rPh sb="0" eb="2">
      <t>ジツドウ</t>
    </rPh>
    <rPh sb="2" eb="4">
      <t>ジカン</t>
    </rPh>
    <rPh sb="8" eb="10">
      <t>ジョウヨウ</t>
    </rPh>
    <rPh sb="10" eb="12">
      <t>コヨウ</t>
    </rPh>
    <rPh sb="14" eb="15">
      <t>ミ</t>
    </rPh>
    <phoneticPr fontId="2"/>
  </si>
  <si>
    <t>遅刻時間として計算する</t>
    <rPh sb="0" eb="2">
      <t>チコク</t>
    </rPh>
    <rPh sb="2" eb="4">
      <t>ジカン</t>
    </rPh>
    <rPh sb="7" eb="9">
      <t>ケイサン</t>
    </rPh>
    <phoneticPr fontId="2"/>
  </si>
  <si>
    <t>　⇒2時間を遅刻時間とする</t>
    <rPh sb="3" eb="5">
      <t>ジカン</t>
    </rPh>
    <rPh sb="6" eb="8">
      <t>チコク</t>
    </rPh>
    <rPh sb="8" eb="10">
      <t>ジカン</t>
    </rPh>
    <phoneticPr fontId="2"/>
  </si>
  <si>
    <t>R5=全休ｶｳﾝﾄ　　　　（TRUE⇒1/FALSE⇒0）</t>
    <rPh sb="3" eb="5">
      <t>ゼンキュウ</t>
    </rPh>
    <phoneticPr fontId="2"/>
  </si>
  <si>
    <t>V5=</t>
    <phoneticPr fontId="2"/>
  </si>
  <si>
    <t>S5=半休ｶｳﾝﾄ　　　　（TRUE⇒1/FALSE⇒0）</t>
    <rPh sb="3" eb="5">
      <t>ハンキュウ</t>
    </rPh>
    <phoneticPr fontId="2"/>
  </si>
  <si>
    <t>W5=</t>
    <phoneticPr fontId="2"/>
  </si>
  <si>
    <t>実働が8ｈに足りない時間と、遅刻した時間</t>
    <rPh sb="0" eb="2">
      <t>ジツドウ</t>
    </rPh>
    <rPh sb="6" eb="7">
      <t>タ</t>
    </rPh>
    <rPh sb="10" eb="12">
      <t>ジカン</t>
    </rPh>
    <rPh sb="14" eb="16">
      <t>チコク</t>
    </rPh>
    <rPh sb="18" eb="20">
      <t>ジカン</t>
    </rPh>
    <phoneticPr fontId="2"/>
  </si>
  <si>
    <t>ズバリ遅刻した時間</t>
    <rPh sb="3" eb="5">
      <t>チコク</t>
    </rPh>
    <rPh sb="7" eb="9">
      <t>ジカン</t>
    </rPh>
    <phoneticPr fontId="2"/>
  </si>
  <si>
    <t>　30分遅刻して、7：45労働した。∴15分稼動不足生じている</t>
    <rPh sb="3" eb="4">
      <t>フン</t>
    </rPh>
    <rPh sb="4" eb="6">
      <t>チコク</t>
    </rPh>
    <rPh sb="13" eb="15">
      <t>ロウドウ</t>
    </rPh>
    <phoneticPr fontId="2"/>
  </si>
  <si>
    <t>T5=特休ｶｳﾝﾄ　　　　（TRUE⇒1/FALSE⇒0）</t>
    <rPh sb="3" eb="5">
      <t>トッキュウ</t>
    </rPh>
    <phoneticPr fontId="2"/>
  </si>
  <si>
    <t>X5=</t>
    <phoneticPr fontId="2"/>
  </si>
  <si>
    <t>とを比較して前者の方が大きい場合</t>
    <rPh sb="2" eb="4">
      <t>ヒカク</t>
    </rPh>
    <rPh sb="6" eb="8">
      <t>ゼンシャ</t>
    </rPh>
    <rPh sb="9" eb="10">
      <t>ホウ</t>
    </rPh>
    <rPh sb="11" eb="12">
      <t>オオ</t>
    </rPh>
    <rPh sb="14" eb="16">
      <t>バアイ</t>
    </rPh>
    <phoneticPr fontId="2"/>
  </si>
  <si>
    <t>をそのまま遅刻時間とする</t>
    <rPh sb="5" eb="7">
      <t>チコク</t>
    </rPh>
    <rPh sb="7" eb="9">
      <t>ジカン</t>
    </rPh>
    <phoneticPr fontId="2"/>
  </si>
  <si>
    <t>　⇒30分を遅刻時間とする</t>
    <rPh sb="4" eb="5">
      <t>フン</t>
    </rPh>
    <rPh sb="6" eb="8">
      <t>チコク</t>
    </rPh>
    <rPh sb="8" eb="10">
      <t>ジカン</t>
    </rPh>
    <phoneticPr fontId="2"/>
  </si>
  <si>
    <t>U5=振休ｶｳﾝﾄ　　　　（TRUE⇒1/FALSE⇒0）</t>
    <rPh sb="3" eb="5">
      <t>フリキュウ</t>
    </rPh>
    <phoneticPr fontId="2"/>
  </si>
  <si>
    <t>P5=</t>
    <phoneticPr fontId="2"/>
  </si>
  <si>
    <t>　　</t>
    <phoneticPr fontId="2"/>
  </si>
  <si>
    <t>V5=欠勤ｶｳﾝﾄ　　　　（TRUE⇒1/FALSE⇒0）</t>
    <rPh sb="3" eb="5">
      <t>ケッキン</t>
    </rPh>
    <phoneticPr fontId="2"/>
  </si>
  <si>
    <t>W5=休出ｶｳﾝﾄ　　　　（TRUE⇒1/FALSE⇒0）</t>
    <rPh sb="3" eb="5">
      <t>キュウシュツ</t>
    </rPh>
    <phoneticPr fontId="2"/>
  </si>
  <si>
    <t>X5=■予定■ｶｳﾝﾄ　（TRUE⇒1/FALSE⇒0）</t>
    <rPh sb="4" eb="6">
      <t>ヨテイ</t>
    </rPh>
    <phoneticPr fontId="2"/>
  </si>
  <si>
    <t>AND</t>
    <phoneticPr fontId="2"/>
  </si>
  <si>
    <t>K5 &gt; 0</t>
    <phoneticPr fontId="2"/>
  </si>
  <si>
    <t>遅刻はしていないが、実働時間が</t>
    <rPh sb="0" eb="2">
      <t>チコク</t>
    </rPh>
    <rPh sb="10" eb="12">
      <t>ジツドウ</t>
    </rPh>
    <rPh sb="12" eb="14">
      <t>ジカン</t>
    </rPh>
    <phoneticPr fontId="2"/>
  </si>
  <si>
    <t>【岩田さん用に修正（Ver.071024）】</t>
    <rPh sb="1" eb="3">
      <t>イワタ</t>
    </rPh>
    <rPh sb="5" eb="6">
      <t>ヨウ</t>
    </rPh>
    <rPh sb="7" eb="9">
      <t>シュウセイ</t>
    </rPh>
    <phoneticPr fontId="2"/>
  </si>
  <si>
    <t>P5=会社都合等による遅早免除セル　（免除⇒1）</t>
    <rPh sb="3" eb="5">
      <t>カイシャ</t>
    </rPh>
    <rPh sb="5" eb="8">
      <t>ツゴウトウ</t>
    </rPh>
    <rPh sb="11" eb="13">
      <t>チソウ</t>
    </rPh>
    <rPh sb="13" eb="15">
      <t>メンジョ</t>
    </rPh>
    <rPh sb="19" eb="21">
      <t>メンジョ</t>
    </rPh>
    <phoneticPr fontId="2"/>
  </si>
  <si>
    <t>J5 &lt; $E$2</t>
    <phoneticPr fontId="2"/>
  </si>
  <si>
    <t>所定稼動時間に満たないケース</t>
    <rPh sb="0" eb="2">
      <t>ショテイ</t>
    </rPh>
    <rPh sb="2" eb="4">
      <t>カドウ</t>
    </rPh>
    <rPh sb="4" eb="6">
      <t>ジカン</t>
    </rPh>
    <rPh sb="7" eb="8">
      <t>ミ</t>
    </rPh>
    <phoneticPr fontId="2"/>
  </si>
  <si>
    <t>就業形態が常用雇用であるが、遅早の基準時間を他の常用雇用社員とは異なり</t>
    <rPh sb="0" eb="2">
      <t>シュウギョウ</t>
    </rPh>
    <rPh sb="2" eb="4">
      <t>ケイタイ</t>
    </rPh>
    <rPh sb="5" eb="7">
      <t>ジョウヨウ</t>
    </rPh>
    <rPh sb="7" eb="9">
      <t>コヨウ</t>
    </rPh>
    <rPh sb="14" eb="16">
      <t>チソウ</t>
    </rPh>
    <rPh sb="17" eb="19">
      <t>キジュン</t>
    </rPh>
    <rPh sb="19" eb="21">
      <t>ジカン</t>
    </rPh>
    <rPh sb="22" eb="23">
      <t>タ</t>
    </rPh>
    <rPh sb="24" eb="26">
      <t>ジョウヨウ</t>
    </rPh>
    <rPh sb="26" eb="28">
      <t>コヨウ</t>
    </rPh>
    <rPh sb="28" eb="30">
      <t>シャイン</t>
    </rPh>
    <rPh sb="32" eb="33">
      <t>コト</t>
    </rPh>
    <phoneticPr fontId="2"/>
  </si>
  <si>
    <t>=早退の場合</t>
    <rPh sb="1" eb="3">
      <t>ソウタイ</t>
    </rPh>
    <rPh sb="4" eb="6">
      <t>バアイ</t>
    </rPh>
    <phoneticPr fontId="2"/>
  </si>
  <si>
    <t>7ｈとしたい</t>
    <phoneticPr fontId="2"/>
  </si>
  <si>
    <t>K5セルの関数を修正（K5セルの頭に以下の式を追加）</t>
    <rPh sb="5" eb="7">
      <t>カンスウ</t>
    </rPh>
    <rPh sb="8" eb="10">
      <t>シュウセイ</t>
    </rPh>
    <rPh sb="16" eb="17">
      <t>アタマ</t>
    </rPh>
    <rPh sb="18" eb="20">
      <t>イカ</t>
    </rPh>
    <rPh sb="21" eb="22">
      <t>シキ</t>
    </rPh>
    <rPh sb="23" eb="25">
      <t>ツイカ</t>
    </rPh>
    <phoneticPr fontId="2"/>
  </si>
  <si>
    <t>　</t>
    <phoneticPr fontId="2"/>
  </si>
  <si>
    <t>このANDの式は不要だと思う</t>
    <rPh sb="6" eb="7">
      <t>シキ</t>
    </rPh>
    <rPh sb="8" eb="10">
      <t>フヨウ</t>
    </rPh>
    <rPh sb="12" eb="13">
      <t>オモ</t>
    </rPh>
    <phoneticPr fontId="2"/>
  </si>
  <si>
    <t>$D$2="岩田好世"</t>
    <rPh sb="6" eb="8">
      <t>イワタ</t>
    </rPh>
    <rPh sb="8" eb="10">
      <t>ヨシヨ</t>
    </rPh>
    <phoneticPr fontId="2"/>
  </si>
  <si>
    <t>∵2つ目の引数、J5&lt;$E$2は$E$2-J5&gt;0であり</t>
    <rPh sb="3" eb="4">
      <t>メ</t>
    </rPh>
    <rPh sb="5" eb="7">
      <t>ヒキスウ</t>
    </rPh>
    <phoneticPr fontId="2"/>
  </si>
  <si>
    <t>これはK5&gt;0（パートの場合の）に一致しているので</t>
    <rPh sb="12" eb="14">
      <t>バアイ</t>
    </rPh>
    <rPh sb="17" eb="19">
      <t>イッチ</t>
    </rPh>
    <phoneticPr fontId="2"/>
  </si>
  <si>
    <t>※D2=氏名</t>
    <rPh sb="4" eb="6">
      <t>シメイ</t>
    </rPh>
    <phoneticPr fontId="2"/>
  </si>
  <si>
    <r>
      <t>★</t>
    </r>
    <r>
      <rPr>
        <sz val="11"/>
        <rFont val="ＭＳ Ｐゴシック"/>
        <family val="3"/>
        <charset val="128"/>
      </rPr>
      <t>へ</t>
    </r>
    <phoneticPr fontId="2"/>
  </si>
  <si>
    <t>そこで、このように式を修正し暫く様子を見ることにした（Ver.071024）</t>
    <rPh sb="9" eb="10">
      <t>シキ</t>
    </rPh>
    <rPh sb="11" eb="13">
      <t>シュウセイ</t>
    </rPh>
    <rPh sb="14" eb="15">
      <t>シバラ</t>
    </rPh>
    <rPh sb="16" eb="18">
      <t>ヨウス</t>
    </rPh>
    <rPh sb="19" eb="20">
      <t>ミ</t>
    </rPh>
    <phoneticPr fontId="2"/>
  </si>
  <si>
    <t>【問題発生！　とそれに対する対処】</t>
    <rPh sb="1" eb="3">
      <t>モンダイ</t>
    </rPh>
    <rPh sb="3" eb="5">
      <t>ハッセイ</t>
    </rPh>
    <rPh sb="11" eb="12">
      <t>タイ</t>
    </rPh>
    <rPh sb="14" eb="16">
      <t>タイショ</t>
    </rPh>
    <phoneticPr fontId="2"/>
  </si>
  <si>
    <t>K5&gt;0</t>
    <phoneticPr fontId="2"/>
  </si>
  <si>
    <t>　　　　　　　　　　TRUE</t>
    <phoneticPr fontId="2"/>
  </si>
  <si>
    <t>9：00-17：00　休憩1：00　実働7：00　という労働をした場合のK列とＬ列の計算結果が・・・</t>
    <rPh sb="11" eb="13">
      <t>キュウケイ</t>
    </rPh>
    <rPh sb="18" eb="20">
      <t>ジツドウ</t>
    </rPh>
    <rPh sb="28" eb="30">
      <t>ロウドウ</t>
    </rPh>
    <rPh sb="33" eb="35">
      <t>バアイ</t>
    </rPh>
    <rPh sb="37" eb="38">
      <t>レツ</t>
    </rPh>
    <rPh sb="40" eb="41">
      <t>レツ</t>
    </rPh>
    <rPh sb="42" eb="44">
      <t>ケイサン</t>
    </rPh>
    <rPh sb="44" eb="46">
      <t>ケッカ</t>
    </rPh>
    <phoneticPr fontId="2"/>
  </si>
  <si>
    <t>（給与計算期間初日の20日＝5行を例にとる）</t>
    <rPh sb="1" eb="3">
      <t>キュウヨ</t>
    </rPh>
    <rPh sb="3" eb="5">
      <t>ケイサン</t>
    </rPh>
    <rPh sb="5" eb="7">
      <t>キカン</t>
    </rPh>
    <rPh sb="7" eb="9">
      <t>ショニチ</t>
    </rPh>
    <rPh sb="12" eb="13">
      <t>ニチ</t>
    </rPh>
    <rPh sb="15" eb="16">
      <t>ギョウ</t>
    </rPh>
    <rPh sb="17" eb="18">
      <t>レイ</t>
    </rPh>
    <phoneticPr fontId="2"/>
  </si>
  <si>
    <t>K5　=　5.55112E-17　=　0.000000000000000055511151231258　となり、"0"　ではなく　"&gt;0"　となる。</t>
    <phoneticPr fontId="2"/>
  </si>
  <si>
    <t>　　　　　　　　　　FALSE</t>
    <phoneticPr fontId="2"/>
  </si>
  <si>
    <t>同様にL5も。</t>
    <rPh sb="0" eb="2">
      <t>ドウヨウ</t>
    </rPh>
    <phoneticPr fontId="2"/>
  </si>
  <si>
    <t>DX列（遅刻日数のカウント）の計算式を、</t>
    <rPh sb="2" eb="3">
      <t>レツ</t>
    </rPh>
    <rPh sb="4" eb="6">
      <t>チコク</t>
    </rPh>
    <rPh sb="6" eb="8">
      <t>ニッスウ</t>
    </rPh>
    <rPh sb="15" eb="17">
      <t>ケイサン</t>
    </rPh>
    <rPh sb="17" eb="18">
      <t>シキ</t>
    </rPh>
    <phoneticPr fontId="2"/>
  </si>
  <si>
    <t>当初　DX5=　IF（L5=TIME(0,0,0),0,1)　と、L5が　"0"　でないと遅刻と扱うようになっていて、この場合</t>
    <rPh sb="0" eb="2">
      <t>トウショ</t>
    </rPh>
    <rPh sb="45" eb="47">
      <t>チコク</t>
    </rPh>
    <rPh sb="48" eb="49">
      <t>アツカ</t>
    </rPh>
    <rPh sb="61" eb="63">
      <t>バアイ</t>
    </rPh>
    <phoneticPr fontId="2"/>
  </si>
  <si>
    <t>上記0.0000･･0055511151231258　は"0"ではないので1（=遅刻）と扱われてしまう。</t>
    <rPh sb="0" eb="2">
      <t>ジョウキ</t>
    </rPh>
    <rPh sb="40" eb="42">
      <t>チコク</t>
    </rPh>
    <rPh sb="44" eb="45">
      <t>アツカ</t>
    </rPh>
    <phoneticPr fontId="2"/>
  </si>
  <si>
    <t>そこで計算式を修正する</t>
    <rPh sb="3" eb="5">
      <t>ケイサン</t>
    </rPh>
    <rPh sb="5" eb="6">
      <t>シキ</t>
    </rPh>
    <rPh sb="7" eb="9">
      <t>シュウセイ</t>
    </rPh>
    <phoneticPr fontId="2"/>
  </si>
  <si>
    <t>DX5=　IF（L5&gt;0.000001,1,0)</t>
    <phoneticPr fontId="2"/>
  </si>
  <si>
    <t>こうしておけば、遅刻でない日を遅刻として計算してしまうことを回避できる。</t>
    <rPh sb="8" eb="10">
      <t>チコク</t>
    </rPh>
    <rPh sb="13" eb="14">
      <t>ヒ</t>
    </rPh>
    <rPh sb="15" eb="17">
      <t>チコク</t>
    </rPh>
    <rPh sb="20" eb="22">
      <t>ケイサン</t>
    </rPh>
    <rPh sb="30" eb="32">
      <t>カイヒ</t>
    </rPh>
    <phoneticPr fontId="2"/>
  </si>
  <si>
    <t>■■■計算ルール■■■</t>
    <rPh sb="3" eb="5">
      <t>ケイサン</t>
    </rPh>
    <phoneticPr fontId="2"/>
  </si>
  <si>
    <r>
      <t>残業時間</t>
    </r>
    <r>
      <rPr>
        <sz val="11"/>
        <rFont val="ＭＳ Ｐゴシック"/>
        <family val="3"/>
        <charset val="128"/>
      </rPr>
      <t>　＝　実働時間　-　8.0ｈ</t>
    </r>
    <rPh sb="0" eb="2">
      <t>ザンギョウ</t>
    </rPh>
    <rPh sb="2" eb="4">
      <t>ジカン</t>
    </rPh>
    <rPh sb="7" eb="9">
      <t>ジツドウ</t>
    </rPh>
    <rPh sb="9" eb="11">
      <t>ジカン</t>
    </rPh>
    <phoneticPr fontId="2"/>
  </si>
  <si>
    <r>
      <t>深夜業</t>
    </r>
    <r>
      <rPr>
        <sz val="11"/>
        <rFont val="ＭＳ Ｐゴシック"/>
        <family val="3"/>
        <charset val="128"/>
      </rPr>
      <t>　＝　22：00　～　翌5：00</t>
    </r>
    <rPh sb="0" eb="3">
      <t>シンヤギョウ</t>
    </rPh>
    <rPh sb="14" eb="15">
      <t>ヨク</t>
    </rPh>
    <phoneticPr fontId="2"/>
  </si>
  <si>
    <r>
      <t>所定内深夜業</t>
    </r>
    <r>
      <rPr>
        <sz val="11"/>
        <rFont val="ＭＳ Ｐゴシック"/>
        <family val="3"/>
        <charset val="128"/>
      </rPr>
      <t>　＝　残業の対象とはならないが（実働 &lt;= 8.0ｈ）、深夜業の時間帯に作業をした場合、残業時間欄には"0"と表示される</t>
    </r>
    <rPh sb="0" eb="3">
      <t>ショテイナイ</t>
    </rPh>
    <rPh sb="3" eb="5">
      <t>シンヤ</t>
    </rPh>
    <rPh sb="5" eb="6">
      <t>ギョウ</t>
    </rPh>
    <rPh sb="9" eb="11">
      <t>ザンギョウ</t>
    </rPh>
    <rPh sb="12" eb="14">
      <t>タイショウ</t>
    </rPh>
    <rPh sb="22" eb="24">
      <t>ジツドウ</t>
    </rPh>
    <rPh sb="34" eb="37">
      <t>シンヤギョウ</t>
    </rPh>
    <rPh sb="38" eb="40">
      <t>ジカン</t>
    </rPh>
    <rPh sb="40" eb="41">
      <t>タイ</t>
    </rPh>
    <rPh sb="42" eb="44">
      <t>サギョウ</t>
    </rPh>
    <rPh sb="47" eb="49">
      <t>バアイ</t>
    </rPh>
    <rPh sb="50" eb="52">
      <t>ザンギョウ</t>
    </rPh>
    <rPh sb="52" eb="54">
      <t>ジカン</t>
    </rPh>
    <rPh sb="54" eb="55">
      <t>ラン</t>
    </rPh>
    <rPh sb="61" eb="63">
      <t>ヒョウジ</t>
    </rPh>
    <phoneticPr fontId="2"/>
  </si>
  <si>
    <t>※　所定内深夜業については残業ではないが深夜業の割増は必要なため、手計算で当該所定内深夜業について、時給×0.25を加算調整する</t>
    <rPh sb="2" eb="4">
      <t>ショテイ</t>
    </rPh>
    <rPh sb="4" eb="5">
      <t>ナイ</t>
    </rPh>
    <rPh sb="5" eb="7">
      <t>シンヤ</t>
    </rPh>
    <rPh sb="7" eb="8">
      <t>ギョウ</t>
    </rPh>
    <rPh sb="13" eb="15">
      <t>ザンギョウ</t>
    </rPh>
    <rPh sb="20" eb="22">
      <t>シンヤ</t>
    </rPh>
    <rPh sb="22" eb="23">
      <t>ギョウ</t>
    </rPh>
    <rPh sb="24" eb="26">
      <t>ワリマシ</t>
    </rPh>
    <rPh sb="27" eb="29">
      <t>ヒツヨウ</t>
    </rPh>
    <rPh sb="33" eb="34">
      <t>テ</t>
    </rPh>
    <rPh sb="34" eb="36">
      <t>ケイサン</t>
    </rPh>
    <rPh sb="37" eb="39">
      <t>トウガイ</t>
    </rPh>
    <rPh sb="39" eb="42">
      <t>ショテイナイ</t>
    </rPh>
    <rPh sb="42" eb="45">
      <t>シンヤギョウ</t>
    </rPh>
    <rPh sb="50" eb="52">
      <t>ジキュウ</t>
    </rPh>
    <rPh sb="58" eb="60">
      <t>カサン</t>
    </rPh>
    <rPh sb="60" eb="62">
      <t>チョウセイ</t>
    </rPh>
    <phoneticPr fontId="2"/>
  </si>
  <si>
    <t>　 　尚、この場合残業時間合計欄は"0"と表示されるも、深夜残業欄には"0"と表示されずあたかも深夜残業かのように深夜の時間が表示されてしまう。</t>
    <rPh sb="3" eb="4">
      <t>ナオ</t>
    </rPh>
    <rPh sb="7" eb="9">
      <t>バアイ</t>
    </rPh>
    <rPh sb="9" eb="11">
      <t>ザンギョウ</t>
    </rPh>
    <rPh sb="11" eb="13">
      <t>ジカン</t>
    </rPh>
    <rPh sb="13" eb="15">
      <t>ゴウケイ</t>
    </rPh>
    <rPh sb="15" eb="16">
      <t>ラン</t>
    </rPh>
    <rPh sb="21" eb="23">
      <t>ヒョウジ</t>
    </rPh>
    <rPh sb="28" eb="30">
      <t>シンヤ</t>
    </rPh>
    <rPh sb="30" eb="32">
      <t>ザンギョウ</t>
    </rPh>
    <rPh sb="32" eb="33">
      <t>ラン</t>
    </rPh>
    <rPh sb="39" eb="41">
      <t>ヒョウジ</t>
    </rPh>
    <rPh sb="48" eb="50">
      <t>シンヤ</t>
    </rPh>
    <rPh sb="50" eb="52">
      <t>ザンギョウ</t>
    </rPh>
    <rPh sb="57" eb="59">
      <t>シンヤ</t>
    </rPh>
    <rPh sb="60" eb="62">
      <t>ジカン</t>
    </rPh>
    <rPh sb="63" eb="65">
      <t>ヒョウジ</t>
    </rPh>
    <phoneticPr fontId="2"/>
  </si>
  <si>
    <t>※　所定内深夜業があって、かつ残業時間もある場合（Ex.　9.0ｈの実働のうち、5.25ｈが深夜業、但し残業となるのは1.0ｈ）には正しく深夜残業が計算されない</t>
    <rPh sb="2" eb="5">
      <t>ショテイナイ</t>
    </rPh>
    <rPh sb="5" eb="8">
      <t>シンヤギョウ</t>
    </rPh>
    <rPh sb="15" eb="17">
      <t>ザンギョウ</t>
    </rPh>
    <rPh sb="17" eb="19">
      <t>ジカン</t>
    </rPh>
    <rPh sb="22" eb="24">
      <t>バアイ</t>
    </rPh>
    <rPh sb="34" eb="36">
      <t>ジツドウ</t>
    </rPh>
    <rPh sb="46" eb="49">
      <t>シンヤギョウ</t>
    </rPh>
    <rPh sb="50" eb="51">
      <t>タダ</t>
    </rPh>
    <rPh sb="52" eb="54">
      <t>ザンギョウ</t>
    </rPh>
    <rPh sb="66" eb="67">
      <t>タダ</t>
    </rPh>
    <rPh sb="69" eb="71">
      <t>シンヤ</t>
    </rPh>
    <rPh sb="71" eb="73">
      <t>ザンギョウ</t>
    </rPh>
    <rPh sb="74" eb="76">
      <t>ケイサン</t>
    </rPh>
    <phoneticPr fontId="2"/>
  </si>
  <si>
    <r>
      <t xml:space="preserve">遅早時間 </t>
    </r>
    <r>
      <rPr>
        <sz val="11"/>
        <rFont val="ＭＳ Ｐゴシック"/>
        <family val="3"/>
        <charset val="128"/>
      </rPr>
      <t>＝ (8.0ｈ - 実働時間) と (実際出社時刻 - 所定出社時刻) の大きい方とする。</t>
    </r>
    <rPh sb="0" eb="2">
      <t>チソウ</t>
    </rPh>
    <rPh sb="2" eb="4">
      <t>ジカン</t>
    </rPh>
    <rPh sb="15" eb="17">
      <t>ジツドウ</t>
    </rPh>
    <rPh sb="17" eb="19">
      <t>ジカン</t>
    </rPh>
    <rPh sb="24" eb="26">
      <t>ジッサイ</t>
    </rPh>
    <rPh sb="26" eb="28">
      <t>シュッシャ</t>
    </rPh>
    <rPh sb="28" eb="30">
      <t>ジコク</t>
    </rPh>
    <rPh sb="33" eb="35">
      <t>ショテイ</t>
    </rPh>
    <rPh sb="35" eb="37">
      <t>シュッシャ</t>
    </rPh>
    <rPh sb="37" eb="39">
      <t>ジコク</t>
    </rPh>
    <rPh sb="42" eb="43">
      <t>オオ</t>
    </rPh>
    <rPh sb="45" eb="46">
      <t>ホウ</t>
    </rPh>
    <phoneticPr fontId="2"/>
  </si>
  <si>
    <t>※但し、JCDでは実働が8.0ｈを下回っても、作業場所所定労働時間をクリアできていれば遅早扱いせず</t>
    <rPh sb="1" eb="2">
      <t>タダ</t>
    </rPh>
    <rPh sb="9" eb="11">
      <t>ジツドウ</t>
    </rPh>
    <rPh sb="17" eb="19">
      <t>シタマワ</t>
    </rPh>
    <rPh sb="23" eb="25">
      <t>サギョウ</t>
    </rPh>
    <rPh sb="25" eb="27">
      <t>バショ</t>
    </rPh>
    <rPh sb="27" eb="29">
      <t>ショテイ</t>
    </rPh>
    <rPh sb="29" eb="31">
      <t>ロウドウ</t>
    </rPh>
    <rPh sb="31" eb="33">
      <t>ジカン</t>
    </rPh>
    <rPh sb="43" eb="45">
      <t>チソウ</t>
    </rPh>
    <rPh sb="45" eb="46">
      <t>アツカ</t>
    </rPh>
    <phoneticPr fontId="2"/>
  </si>
  <si>
    <t>出退社時刻は15分刻みで計算する</t>
    <rPh sb="0" eb="3">
      <t>シュッタイシャ</t>
    </rPh>
    <rPh sb="3" eb="5">
      <t>ジコク</t>
    </rPh>
    <rPh sb="8" eb="9">
      <t>フン</t>
    </rPh>
    <rPh sb="9" eb="10">
      <t>キザ</t>
    </rPh>
    <rPh sb="12" eb="14">
      <t>ケイサン</t>
    </rPh>
    <phoneticPr fontId="2"/>
  </si>
  <si>
    <t>※富士通のような6分カウントにはしていない</t>
    <rPh sb="1" eb="4">
      <t>フジツウ</t>
    </rPh>
    <rPh sb="9" eb="10">
      <t>プン</t>
    </rPh>
    <phoneticPr fontId="2"/>
  </si>
  <si>
    <t>※※　その他、細かな残業計算上の不具合はある。休憩時間内に出退社の両者がある等。ただ、ほとんどの原因は遅刻した日の深夜業と思ってよい。</t>
    <rPh sb="5" eb="6">
      <t>タ</t>
    </rPh>
    <rPh sb="7" eb="8">
      <t>コマ</t>
    </rPh>
    <rPh sb="10" eb="12">
      <t>ザンギョウ</t>
    </rPh>
    <rPh sb="12" eb="15">
      <t>ケイサンジョウ</t>
    </rPh>
    <rPh sb="16" eb="19">
      <t>フグアイ</t>
    </rPh>
    <rPh sb="23" eb="25">
      <t>キュウケイ</t>
    </rPh>
    <rPh sb="25" eb="27">
      <t>ジカン</t>
    </rPh>
    <rPh sb="27" eb="28">
      <t>ナイ</t>
    </rPh>
    <rPh sb="29" eb="32">
      <t>シュッタイシャ</t>
    </rPh>
    <rPh sb="33" eb="35">
      <t>リョウシャ</t>
    </rPh>
    <rPh sb="38" eb="39">
      <t>トウ</t>
    </rPh>
    <rPh sb="48" eb="50">
      <t>ゲンイン</t>
    </rPh>
    <rPh sb="51" eb="53">
      <t>チコク</t>
    </rPh>
    <rPh sb="55" eb="56">
      <t>ヒ</t>
    </rPh>
    <rPh sb="57" eb="60">
      <t>シンヤギョウ</t>
    </rPh>
    <rPh sb="61" eb="62">
      <t>オモ</t>
    </rPh>
    <phoneticPr fontId="2"/>
  </si>
  <si>
    <t>※※　余りにイレギュラーな勤務・勤怠不良は避けること。</t>
    <rPh sb="3" eb="4">
      <t>アマ</t>
    </rPh>
    <rPh sb="13" eb="15">
      <t>キンム</t>
    </rPh>
    <rPh sb="16" eb="18">
      <t>キンタイ</t>
    </rPh>
    <rPh sb="18" eb="20">
      <t>フリョウ</t>
    </rPh>
    <rPh sb="21" eb="22">
      <t>サ</t>
    </rPh>
    <phoneticPr fontId="2"/>
  </si>
  <si>
    <t>■■■今後の更新予定■■■</t>
    <rPh sb="3" eb="5">
      <t>コンゴ</t>
    </rPh>
    <rPh sb="6" eb="8">
      <t>コウシン</t>
    </rPh>
    <rPh sb="8" eb="10">
      <t>ヨテイ</t>
    </rPh>
    <phoneticPr fontId="2"/>
  </si>
  <si>
    <t>・所定内深夜業と深夜残業の整合性を図る</t>
    <rPh sb="1" eb="4">
      <t>ショテイナイ</t>
    </rPh>
    <rPh sb="4" eb="7">
      <t>シンヤギョウ</t>
    </rPh>
    <rPh sb="8" eb="10">
      <t>シンヤ</t>
    </rPh>
    <rPh sb="10" eb="12">
      <t>ザンギョウ</t>
    </rPh>
    <rPh sb="13" eb="15">
      <t>セイゴウ</t>
    </rPh>
    <rPh sb="15" eb="16">
      <t>セイ</t>
    </rPh>
    <rPh sb="17" eb="18">
      <t>ハカ</t>
    </rPh>
    <phoneticPr fontId="2"/>
  </si>
  <si>
    <t>・休日割増の対応</t>
    <rPh sb="1" eb="3">
      <t>キュウジツ</t>
    </rPh>
    <rPh sb="3" eb="5">
      <t>ワリマシ</t>
    </rPh>
    <rPh sb="6" eb="8">
      <t>タイオウ</t>
    </rPh>
    <phoneticPr fontId="2"/>
  </si>
  <si>
    <t>・午前中体調不良等で休み午後から出社した場合、遅刻時間の中に昼休憩が含まれてしまう点の修正</t>
    <rPh sb="1" eb="4">
      <t>ゴゼンチュウ</t>
    </rPh>
    <rPh sb="4" eb="6">
      <t>タイチョウ</t>
    </rPh>
    <rPh sb="6" eb="9">
      <t>フリョウナド</t>
    </rPh>
    <rPh sb="10" eb="11">
      <t>ヤス</t>
    </rPh>
    <rPh sb="12" eb="14">
      <t>ゴゴ</t>
    </rPh>
    <rPh sb="16" eb="18">
      <t>シュッシャ</t>
    </rPh>
    <rPh sb="20" eb="22">
      <t>バアイ</t>
    </rPh>
    <rPh sb="23" eb="25">
      <t>チコク</t>
    </rPh>
    <rPh sb="25" eb="27">
      <t>ジカン</t>
    </rPh>
    <rPh sb="28" eb="29">
      <t>ナカ</t>
    </rPh>
    <rPh sb="30" eb="31">
      <t>ヒル</t>
    </rPh>
    <rPh sb="31" eb="33">
      <t>キュウケイ</t>
    </rPh>
    <rPh sb="34" eb="35">
      <t>フク</t>
    </rPh>
    <rPh sb="41" eb="42">
      <t>テン</t>
    </rPh>
    <rPh sb="43" eb="45">
      <t>シュウセイ</t>
    </rPh>
    <phoneticPr fontId="2"/>
  </si>
  <si>
    <t>■■■更新履歴■■■■■■■■■■■■■■■■■■■■■■■■■■■■■■■■■■■■■■■■■■■■■■■■■■■■■■■■■■■■■■■■■■■■■</t>
    <rPh sb="3" eb="5">
      <t>コウシン</t>
    </rPh>
    <rPh sb="5" eb="7">
      <t>リレキ</t>
    </rPh>
    <phoneticPr fontId="2"/>
  </si>
  <si>
    <t>・振休の取得日数も管理できるよう、有給区分に振休も追加し印刷シートに有給・振休それぞれの取得日数を表示させた（2005/4/25）</t>
    <rPh sb="1" eb="2">
      <t>フ</t>
    </rPh>
    <rPh sb="2" eb="3">
      <t>キュウ</t>
    </rPh>
    <rPh sb="4" eb="6">
      <t>シュトク</t>
    </rPh>
    <rPh sb="6" eb="8">
      <t>ニッスウ</t>
    </rPh>
    <rPh sb="9" eb="11">
      <t>カンリ</t>
    </rPh>
    <rPh sb="17" eb="19">
      <t>ユウキュウ</t>
    </rPh>
    <rPh sb="19" eb="21">
      <t>クブン</t>
    </rPh>
    <rPh sb="22" eb="23">
      <t>フ</t>
    </rPh>
    <rPh sb="23" eb="24">
      <t>キュウ</t>
    </rPh>
    <rPh sb="25" eb="27">
      <t>ツイカ</t>
    </rPh>
    <rPh sb="28" eb="30">
      <t>インサツ</t>
    </rPh>
    <rPh sb="34" eb="36">
      <t>ユウキュウ</t>
    </rPh>
    <rPh sb="37" eb="38">
      <t>フ</t>
    </rPh>
    <rPh sb="38" eb="39">
      <t>キュウ</t>
    </rPh>
    <rPh sb="44" eb="46">
      <t>シュトク</t>
    </rPh>
    <rPh sb="46" eb="48">
      <t>ニッスウ</t>
    </rPh>
    <rPh sb="49" eb="51">
      <t>ヒョウジ</t>
    </rPh>
    <phoneticPr fontId="2"/>
  </si>
  <si>
    <t>・有給等入力欄を、勤怠入力欄と範囲を拡げ、有給・欠勤・振休・休出さらに週報用に次週以降の予測まで入力を可能にした（2005/5/12）</t>
    <rPh sb="1" eb="3">
      <t>ユウキュウ</t>
    </rPh>
    <rPh sb="3" eb="4">
      <t>トウ</t>
    </rPh>
    <rPh sb="4" eb="6">
      <t>ニュウリョク</t>
    </rPh>
    <rPh sb="6" eb="7">
      <t>ラン</t>
    </rPh>
    <rPh sb="9" eb="11">
      <t>キンタイ</t>
    </rPh>
    <rPh sb="11" eb="13">
      <t>ニュウリョク</t>
    </rPh>
    <rPh sb="13" eb="14">
      <t>ラン</t>
    </rPh>
    <rPh sb="15" eb="17">
      <t>ハンイ</t>
    </rPh>
    <rPh sb="18" eb="19">
      <t>ヒロ</t>
    </rPh>
    <rPh sb="21" eb="23">
      <t>ユウキュウ</t>
    </rPh>
    <rPh sb="24" eb="26">
      <t>ケッキン</t>
    </rPh>
    <rPh sb="27" eb="28">
      <t>フ</t>
    </rPh>
    <rPh sb="28" eb="29">
      <t>キュウ</t>
    </rPh>
    <rPh sb="30" eb="31">
      <t>キュウ</t>
    </rPh>
    <rPh sb="31" eb="32">
      <t>シュツ</t>
    </rPh>
    <rPh sb="35" eb="37">
      <t>シュウホウ</t>
    </rPh>
    <rPh sb="37" eb="38">
      <t>ヨウ</t>
    </rPh>
    <rPh sb="39" eb="41">
      <t>ジシュウ</t>
    </rPh>
    <rPh sb="41" eb="43">
      <t>イコウ</t>
    </rPh>
    <rPh sb="44" eb="46">
      <t>ヨソク</t>
    </rPh>
    <rPh sb="48" eb="50">
      <t>ニュウリョク</t>
    </rPh>
    <rPh sb="51" eb="53">
      <t>カノウ</t>
    </rPh>
    <phoneticPr fontId="2"/>
  </si>
  <si>
    <t>・要稼動日数、日稼動日数等の表示をさせた（2005/5/12）</t>
    <rPh sb="1" eb="2">
      <t>ヨウ</t>
    </rPh>
    <rPh sb="2" eb="4">
      <t>カドウ</t>
    </rPh>
    <rPh sb="4" eb="6">
      <t>ニッスウ</t>
    </rPh>
    <rPh sb="7" eb="8">
      <t>ジツ</t>
    </rPh>
    <rPh sb="8" eb="10">
      <t>カドウ</t>
    </rPh>
    <rPh sb="10" eb="12">
      <t>ニッスウ</t>
    </rPh>
    <rPh sb="12" eb="13">
      <t>トウ</t>
    </rPh>
    <rPh sb="14" eb="16">
      <t>ヒョウジ</t>
    </rPh>
    <phoneticPr fontId="2"/>
  </si>
  <si>
    <t>・遅刻時間が表示されるケースを狭めた（勤怠入力欄に入力があるときは遅刻時間の表示がされない）（2005/5/12）</t>
    <rPh sb="1" eb="3">
      <t>チコク</t>
    </rPh>
    <rPh sb="3" eb="5">
      <t>ジカン</t>
    </rPh>
    <rPh sb="6" eb="8">
      <t>ヒョウジ</t>
    </rPh>
    <rPh sb="15" eb="16">
      <t>セバ</t>
    </rPh>
    <rPh sb="19" eb="21">
      <t>キンタイ</t>
    </rPh>
    <rPh sb="21" eb="23">
      <t>ニュウリョク</t>
    </rPh>
    <rPh sb="23" eb="24">
      <t>ラン</t>
    </rPh>
    <rPh sb="25" eb="27">
      <t>ニュウリョク</t>
    </rPh>
    <rPh sb="33" eb="35">
      <t>チコク</t>
    </rPh>
    <rPh sb="35" eb="37">
      <t>ジカン</t>
    </rPh>
    <rPh sb="38" eb="40">
      <t>ヒョウジ</t>
    </rPh>
    <phoneticPr fontId="2"/>
  </si>
  <si>
    <t>・ニューソンの工程コード一覧表を流用し、週間業務報告用に各社員の工程管理をできるよう作業フェーズ欄を設けた（2005/5/13）</t>
    <rPh sb="7" eb="9">
      <t>コウテイ</t>
    </rPh>
    <rPh sb="12" eb="14">
      <t>イチラン</t>
    </rPh>
    <rPh sb="14" eb="15">
      <t>ヒョウ</t>
    </rPh>
    <rPh sb="16" eb="18">
      <t>リュウヨウ</t>
    </rPh>
    <rPh sb="20" eb="22">
      <t>シュウカン</t>
    </rPh>
    <rPh sb="22" eb="24">
      <t>ギョウム</t>
    </rPh>
    <rPh sb="24" eb="26">
      <t>ホウコク</t>
    </rPh>
    <rPh sb="26" eb="27">
      <t>ヨウ</t>
    </rPh>
    <rPh sb="28" eb="31">
      <t>カクシャイン</t>
    </rPh>
    <rPh sb="32" eb="34">
      <t>コウテイ</t>
    </rPh>
    <rPh sb="34" eb="36">
      <t>カンリ</t>
    </rPh>
    <rPh sb="42" eb="44">
      <t>サギョウ</t>
    </rPh>
    <rPh sb="48" eb="49">
      <t>ラン</t>
    </rPh>
    <rPh sb="50" eb="51">
      <t>モウ</t>
    </rPh>
    <phoneticPr fontId="2"/>
  </si>
  <si>
    <t>・社員の利便性を考え列の配置換えをした。休憩入力欄を端に追いやり、拘束時間や休憩時間を非表示とした（2005/5/13）</t>
    <rPh sb="1" eb="3">
      <t>シャイン</t>
    </rPh>
    <rPh sb="4" eb="7">
      <t>リベンセイ</t>
    </rPh>
    <rPh sb="8" eb="9">
      <t>カンガ</t>
    </rPh>
    <rPh sb="10" eb="11">
      <t>レツ</t>
    </rPh>
    <rPh sb="12" eb="14">
      <t>ハイチ</t>
    </rPh>
    <rPh sb="14" eb="15">
      <t>ガ</t>
    </rPh>
    <rPh sb="20" eb="22">
      <t>キュウケイ</t>
    </rPh>
    <rPh sb="22" eb="24">
      <t>ニュウリョク</t>
    </rPh>
    <rPh sb="24" eb="25">
      <t>ラン</t>
    </rPh>
    <rPh sb="26" eb="27">
      <t>ハシ</t>
    </rPh>
    <rPh sb="28" eb="29">
      <t>オ</t>
    </rPh>
    <rPh sb="33" eb="35">
      <t>コウソク</t>
    </rPh>
    <rPh sb="35" eb="37">
      <t>ジカン</t>
    </rPh>
    <rPh sb="38" eb="40">
      <t>キュウケイ</t>
    </rPh>
    <rPh sb="40" eb="42">
      <t>ジカン</t>
    </rPh>
    <rPh sb="43" eb="46">
      <t>ヒヒョウジ</t>
    </rPh>
    <phoneticPr fontId="2"/>
  </si>
  <si>
    <t>・印刷シートに作業フェーズ欄も表示させた。但し現在印刷範囲の外にある（2005/5/13）</t>
    <rPh sb="1" eb="3">
      <t>インサツ</t>
    </rPh>
    <rPh sb="7" eb="9">
      <t>サギョウ</t>
    </rPh>
    <rPh sb="13" eb="14">
      <t>ラン</t>
    </rPh>
    <rPh sb="15" eb="17">
      <t>ヒョウジ</t>
    </rPh>
    <rPh sb="21" eb="22">
      <t>タダ</t>
    </rPh>
    <rPh sb="23" eb="25">
      <t>ゲンザイ</t>
    </rPh>
    <rPh sb="25" eb="27">
      <t>インサツ</t>
    </rPh>
    <rPh sb="27" eb="29">
      <t>ハンイ</t>
    </rPh>
    <rPh sb="30" eb="31">
      <t>ソト</t>
    </rPh>
    <phoneticPr fontId="2"/>
  </si>
  <si>
    <t>・遅刻して、8.0ｈ以上やった場合にカウントされなかった遅刻をカウントするように改良（2005/5/13）</t>
    <rPh sb="1" eb="3">
      <t>チコク</t>
    </rPh>
    <rPh sb="10" eb="12">
      <t>イジョウ</t>
    </rPh>
    <rPh sb="15" eb="17">
      <t>バアイ</t>
    </rPh>
    <rPh sb="28" eb="30">
      <t>チコク</t>
    </rPh>
    <rPh sb="40" eb="42">
      <t>カイリョウ</t>
    </rPh>
    <phoneticPr fontId="2"/>
  </si>
  <si>
    <t>・佐藤君の提案により届書の機能も盛り込んだ（2005/5/20）</t>
    <rPh sb="1" eb="4">
      <t>サトウクン</t>
    </rPh>
    <rPh sb="5" eb="7">
      <t>テイアン</t>
    </rPh>
    <rPh sb="10" eb="12">
      <t>トドケショ</t>
    </rPh>
    <rPh sb="13" eb="15">
      <t>キノウ</t>
    </rPh>
    <rPh sb="16" eb="17">
      <t>モ</t>
    </rPh>
    <rPh sb="18" eb="19">
      <t>コ</t>
    </rPh>
    <phoneticPr fontId="2"/>
  </si>
  <si>
    <t>・h:mm形式で入力するところと、遅早免除に1を入力する列の日本語入力を「オフ（英語モード）」にした（2005/5/20）</t>
    <rPh sb="5" eb="7">
      <t>ケイシキ</t>
    </rPh>
    <rPh sb="8" eb="10">
      <t>ニュウリョク</t>
    </rPh>
    <rPh sb="17" eb="19">
      <t>チソウ</t>
    </rPh>
    <rPh sb="19" eb="21">
      <t>メンジョ</t>
    </rPh>
    <rPh sb="24" eb="26">
      <t>ニュウリョク</t>
    </rPh>
    <rPh sb="28" eb="29">
      <t>レツ</t>
    </rPh>
    <rPh sb="30" eb="33">
      <t>ニホンゴ</t>
    </rPh>
    <rPh sb="33" eb="35">
      <t>ニュウリョク</t>
    </rPh>
    <rPh sb="40" eb="42">
      <t>エイゴ</t>
    </rPh>
    <phoneticPr fontId="2"/>
  </si>
  <si>
    <t>・印刷シートに作業場所所定始業時刻欄と遅早免除欄を設けた（2005/5/20）</t>
    <rPh sb="1" eb="3">
      <t>インサツ</t>
    </rPh>
    <rPh sb="7" eb="9">
      <t>サギョウ</t>
    </rPh>
    <rPh sb="9" eb="11">
      <t>バショ</t>
    </rPh>
    <rPh sb="11" eb="13">
      <t>ショテイ</t>
    </rPh>
    <rPh sb="13" eb="15">
      <t>シギョウ</t>
    </rPh>
    <rPh sb="15" eb="17">
      <t>ジコク</t>
    </rPh>
    <rPh sb="17" eb="18">
      <t>ラン</t>
    </rPh>
    <rPh sb="19" eb="21">
      <t>チソウ</t>
    </rPh>
    <rPh sb="21" eb="23">
      <t>メンジョ</t>
    </rPh>
    <rPh sb="23" eb="24">
      <t>ラン</t>
    </rPh>
    <rPh sb="25" eb="26">
      <t>モウ</t>
    </rPh>
    <phoneticPr fontId="2"/>
  </si>
  <si>
    <r>
      <t>印刷シートには「Ver.050513M」と表示されているが、実際のヴァージョンは｢</t>
    </r>
    <r>
      <rPr>
        <b/>
        <sz val="11"/>
        <rFont val="ＭＳ Ｐゴシック"/>
        <family val="3"/>
        <charset val="128"/>
      </rPr>
      <t>Ver.050520M-2-2</t>
    </r>
    <r>
      <rPr>
        <sz val="11"/>
        <rFont val="ＭＳ Ｐゴシック"/>
        <family val="3"/>
        <charset val="128"/>
      </rPr>
      <t>｣(H17/5/20主任へ送付)　はここまで</t>
    </r>
    <rPh sb="0" eb="2">
      <t>インサツ</t>
    </rPh>
    <rPh sb="21" eb="23">
      <t>ヒョウジ</t>
    </rPh>
    <rPh sb="30" eb="32">
      <t>ジッサイ</t>
    </rPh>
    <rPh sb="66" eb="68">
      <t>シュニン</t>
    </rPh>
    <rPh sb="69" eb="71">
      <t>ソウフ</t>
    </rPh>
    <phoneticPr fontId="2"/>
  </si>
  <si>
    <t>・印刷シートの調整加減欄前の小計欄（残業合計除く）について、単にSUMとしていたのをCEILING（SUM・・・,"0:15")とした。</t>
    <rPh sb="1" eb="3">
      <t>インサツ</t>
    </rPh>
    <rPh sb="7" eb="9">
      <t>チョウセイ</t>
    </rPh>
    <rPh sb="9" eb="11">
      <t>カゲン</t>
    </rPh>
    <rPh sb="11" eb="12">
      <t>ラン</t>
    </rPh>
    <rPh sb="12" eb="13">
      <t>マエ</t>
    </rPh>
    <rPh sb="14" eb="16">
      <t>ショウケイ</t>
    </rPh>
    <rPh sb="16" eb="17">
      <t>ラン</t>
    </rPh>
    <rPh sb="18" eb="20">
      <t>ザンギョウ</t>
    </rPh>
    <rPh sb="20" eb="22">
      <t>ゴウケイ</t>
    </rPh>
    <rPh sb="22" eb="23">
      <t>ノゾ</t>
    </rPh>
    <rPh sb="30" eb="31">
      <t>タン</t>
    </rPh>
    <phoneticPr fontId="2"/>
  </si>
  <si>
    <r>
      <t>　→調整減算した際にまれにマイナスとなることがあり（Ex．0：15-0：15の場合に、シリアル値が0.010416666666666</t>
    </r>
    <r>
      <rPr>
        <u/>
        <sz val="11"/>
        <rFont val="ＭＳ Ｐゴシック"/>
        <family val="3"/>
        <charset val="128"/>
      </rPr>
      <t>6</t>
    </r>
    <r>
      <rPr>
        <sz val="11"/>
        <rFont val="ＭＳ Ｐゴシック"/>
        <family val="3"/>
        <charset val="128"/>
      </rPr>
      <t>-0.010416666666666</t>
    </r>
    <r>
      <rPr>
        <u/>
        <sz val="11"/>
        <rFont val="ＭＳ Ｐゴシック"/>
        <family val="3"/>
        <charset val="128"/>
      </rPr>
      <t>7</t>
    </r>
    <rPh sb="2" eb="4">
      <t>チョウセイ</t>
    </rPh>
    <rPh sb="4" eb="6">
      <t>ゲンサン</t>
    </rPh>
    <rPh sb="8" eb="9">
      <t>サイ</t>
    </rPh>
    <rPh sb="39" eb="41">
      <t>バアイ</t>
    </rPh>
    <rPh sb="47" eb="48">
      <t>チ</t>
    </rPh>
    <phoneticPr fontId="2"/>
  </si>
  <si>
    <t>　　 となりマイナスになって、エラーとなる場合）それを回避するため。（2005/5/24）</t>
    <rPh sb="27" eb="29">
      <t>カイヒ</t>
    </rPh>
    <phoneticPr fontId="2"/>
  </si>
  <si>
    <t>・入力シートのJ列の実働時間をFLOOR関数で15分カウントに丸めた。これにより小数点以下第16桁目での誤差が修正できたようだ。</t>
    <rPh sb="1" eb="3">
      <t>ニュウリョク</t>
    </rPh>
    <rPh sb="8" eb="9">
      <t>レツ</t>
    </rPh>
    <rPh sb="10" eb="12">
      <t>ジツドウ</t>
    </rPh>
    <rPh sb="12" eb="14">
      <t>ジカン</t>
    </rPh>
    <rPh sb="20" eb="22">
      <t>カンスウ</t>
    </rPh>
    <rPh sb="25" eb="26">
      <t>フン</t>
    </rPh>
    <rPh sb="31" eb="32">
      <t>マル</t>
    </rPh>
    <rPh sb="40" eb="43">
      <t>ショウスウテン</t>
    </rPh>
    <rPh sb="43" eb="45">
      <t>イカ</t>
    </rPh>
    <rPh sb="45" eb="46">
      <t>ダイ</t>
    </rPh>
    <rPh sb="48" eb="49">
      <t>ケタ</t>
    </rPh>
    <rPh sb="49" eb="50">
      <t>メ</t>
    </rPh>
    <rPh sb="52" eb="54">
      <t>ゴサ</t>
    </rPh>
    <rPh sb="55" eb="57">
      <t>シュウセイ</t>
    </rPh>
    <phoneticPr fontId="2"/>
  </si>
  <si>
    <t>　尚、CEILINGでなくFLOORにしたのは、富士通が6分カウントなので**：20のとき**：30でなく**：15と計算させたいから。（2005/5/24）</t>
    <rPh sb="1" eb="2">
      <t>ナオ</t>
    </rPh>
    <rPh sb="24" eb="27">
      <t>フジツウ</t>
    </rPh>
    <rPh sb="29" eb="30">
      <t>フン</t>
    </rPh>
    <rPh sb="59" eb="61">
      <t>ケイサン</t>
    </rPh>
    <phoneticPr fontId="2"/>
  </si>
  <si>
    <t>・印刷シートの調整加減欄のフォントのポイント数の変更、及び調整加減後合計欄の条件付書式の削除。（2005/5/24）</t>
    <rPh sb="1" eb="3">
      <t>インサツ</t>
    </rPh>
    <rPh sb="7" eb="9">
      <t>チョウセイ</t>
    </rPh>
    <rPh sb="9" eb="11">
      <t>カゲン</t>
    </rPh>
    <rPh sb="11" eb="12">
      <t>ラン</t>
    </rPh>
    <rPh sb="22" eb="23">
      <t>スウ</t>
    </rPh>
    <rPh sb="24" eb="26">
      <t>ヘンコウ</t>
    </rPh>
    <rPh sb="27" eb="28">
      <t>オヨ</t>
    </rPh>
    <rPh sb="29" eb="31">
      <t>チョウセイ</t>
    </rPh>
    <rPh sb="31" eb="33">
      <t>カゲン</t>
    </rPh>
    <rPh sb="33" eb="34">
      <t>ゴ</t>
    </rPh>
    <rPh sb="34" eb="36">
      <t>ゴウケイ</t>
    </rPh>
    <rPh sb="36" eb="37">
      <t>ラン</t>
    </rPh>
    <rPh sb="38" eb="41">
      <t>ジョウケンツキ</t>
    </rPh>
    <rPh sb="41" eb="43">
      <t>ショシキ</t>
    </rPh>
    <rPh sb="44" eb="46">
      <t>サクジョ</t>
    </rPh>
    <phoneticPr fontId="2"/>
  </si>
  <si>
    <t>Ver.050524M</t>
    <phoneticPr fontId="2"/>
  </si>
  <si>
    <t>・Q列のプルダウンリストに"特休"を追加（DF列を参照）した。</t>
    <rPh sb="2" eb="3">
      <t>レツ</t>
    </rPh>
    <rPh sb="14" eb="16">
      <t>トッキュウ</t>
    </rPh>
    <rPh sb="18" eb="20">
      <t>ツイカ</t>
    </rPh>
    <rPh sb="23" eb="24">
      <t>レツ</t>
    </rPh>
    <rPh sb="25" eb="27">
      <t>サンショウ</t>
    </rPh>
    <phoneticPr fontId="2"/>
  </si>
  <si>
    <t>・Ｔ列に"特休"取得日数をカウントするセルを追加して、特休をとった日も遅早の対象外とした。</t>
    <rPh sb="2" eb="3">
      <t>レツ</t>
    </rPh>
    <rPh sb="5" eb="6">
      <t>トク</t>
    </rPh>
    <rPh sb="6" eb="7">
      <t>キュウ</t>
    </rPh>
    <rPh sb="8" eb="10">
      <t>シュトク</t>
    </rPh>
    <rPh sb="10" eb="12">
      <t>ニッスウ</t>
    </rPh>
    <rPh sb="22" eb="24">
      <t>ツイカ</t>
    </rPh>
    <rPh sb="27" eb="29">
      <t>トッキュウ</t>
    </rPh>
    <rPh sb="33" eb="34">
      <t>ヒ</t>
    </rPh>
    <rPh sb="35" eb="37">
      <t>チソウ</t>
    </rPh>
    <rPh sb="38" eb="41">
      <t>タイショウガイ</t>
    </rPh>
    <phoneticPr fontId="2"/>
  </si>
  <si>
    <t>・氏名ボックスに野田正人を追加</t>
    <rPh sb="1" eb="3">
      <t>シメイ</t>
    </rPh>
    <rPh sb="8" eb="10">
      <t>ノダ</t>
    </rPh>
    <rPh sb="10" eb="12">
      <t>マサト</t>
    </rPh>
    <rPh sb="13" eb="15">
      <t>ツイカ</t>
    </rPh>
    <phoneticPr fontId="2"/>
  </si>
  <si>
    <t>・氏名ボックスに 八木下あづさ を追加</t>
    <rPh sb="1" eb="3">
      <t>シメイ</t>
    </rPh>
    <rPh sb="9" eb="12">
      <t>ヤギシタ</t>
    </rPh>
    <rPh sb="17" eb="19">
      <t>ツイカ</t>
    </rPh>
    <phoneticPr fontId="2"/>
  </si>
  <si>
    <t>Ver.050929</t>
    <phoneticPr fontId="2"/>
  </si>
  <si>
    <t>・氏名ボックスに 蔵元直樹 を追加</t>
    <rPh sb="1" eb="3">
      <t>シメイ</t>
    </rPh>
    <rPh sb="9" eb="11">
      <t>クラモト</t>
    </rPh>
    <rPh sb="11" eb="13">
      <t>ナオキ</t>
    </rPh>
    <rPh sb="15" eb="17">
      <t>ツイカ</t>
    </rPh>
    <phoneticPr fontId="2"/>
  </si>
  <si>
    <t>・年またぎによって天皇誕生日（12月23日）が祝日表示されない不具合を修正（入力シートDI9セルで『前年の』12月23日と計算されるようにした）</t>
    <rPh sb="1" eb="2">
      <t>トシ</t>
    </rPh>
    <rPh sb="9" eb="11">
      <t>テンノウ</t>
    </rPh>
    <rPh sb="11" eb="13">
      <t>タンジョウ</t>
    </rPh>
    <rPh sb="13" eb="14">
      <t>ビ</t>
    </rPh>
    <rPh sb="17" eb="18">
      <t>ガツ</t>
    </rPh>
    <rPh sb="20" eb="21">
      <t>ニチ</t>
    </rPh>
    <rPh sb="23" eb="25">
      <t>シュクジツ</t>
    </rPh>
    <rPh sb="25" eb="27">
      <t>ヒョウジ</t>
    </rPh>
    <rPh sb="31" eb="34">
      <t>フグアイ</t>
    </rPh>
    <rPh sb="35" eb="37">
      <t>シュウセイ</t>
    </rPh>
    <rPh sb="38" eb="40">
      <t>ニュウリョク</t>
    </rPh>
    <rPh sb="50" eb="52">
      <t>ゼンネン</t>
    </rPh>
    <rPh sb="56" eb="57">
      <t>ガツ</t>
    </rPh>
    <rPh sb="59" eb="60">
      <t>ニチ</t>
    </rPh>
    <rPh sb="61" eb="63">
      <t>ケイサン</t>
    </rPh>
    <phoneticPr fontId="2"/>
  </si>
  <si>
    <t>Ver.060214</t>
    <phoneticPr fontId="2"/>
  </si>
  <si>
    <t>・J1,2セルに所属欄を設けた　参照するセルはDD22～28に追加　（ｼｽﾃﾑ開発1～3課・営業部・管理部）</t>
    <rPh sb="8" eb="10">
      <t>ショゾク</t>
    </rPh>
    <rPh sb="10" eb="11">
      <t>ラン</t>
    </rPh>
    <rPh sb="12" eb="13">
      <t>モウ</t>
    </rPh>
    <rPh sb="16" eb="18">
      <t>サンショウ</t>
    </rPh>
    <rPh sb="31" eb="33">
      <t>ツイカ</t>
    </rPh>
    <rPh sb="39" eb="41">
      <t>カイハツ</t>
    </rPh>
    <rPh sb="44" eb="45">
      <t>カ</t>
    </rPh>
    <rPh sb="46" eb="49">
      <t>エイギョウブ</t>
    </rPh>
    <rPh sb="50" eb="52">
      <t>カンリ</t>
    </rPh>
    <rPh sb="52" eb="53">
      <t>ブ</t>
    </rPh>
    <phoneticPr fontId="2"/>
  </si>
  <si>
    <t>・M1,2セルに役職欄を設けた　参照するセルはDD13～21に追加　（取締役・部長・次長・課長・主任・GL・無し）</t>
    <rPh sb="8" eb="10">
      <t>ヤクショク</t>
    </rPh>
    <rPh sb="10" eb="11">
      <t>ラン</t>
    </rPh>
    <rPh sb="12" eb="13">
      <t>モウ</t>
    </rPh>
    <rPh sb="16" eb="18">
      <t>サンショウ</t>
    </rPh>
    <phoneticPr fontId="2"/>
  </si>
  <si>
    <t>・印刷シートに所属等表示させた。</t>
    <rPh sb="1" eb="3">
      <t>インサツ</t>
    </rPh>
    <rPh sb="7" eb="9">
      <t>ショゾク</t>
    </rPh>
    <rPh sb="9" eb="10">
      <t>トウ</t>
    </rPh>
    <rPh sb="10" eb="12">
      <t>ヒョウジ</t>
    </rPh>
    <phoneticPr fontId="2"/>
  </si>
  <si>
    <t>・営業部所属社員or役職者について残業時間＝0、遅早対象外　と処理するため、L列・M列・N列の計算式を修正した。</t>
    <rPh sb="1" eb="3">
      <t>エイギョウ</t>
    </rPh>
    <rPh sb="3" eb="4">
      <t>ブ</t>
    </rPh>
    <rPh sb="4" eb="6">
      <t>ショゾク</t>
    </rPh>
    <rPh sb="6" eb="8">
      <t>シャイン</t>
    </rPh>
    <rPh sb="10" eb="13">
      <t>ヤクショクシャ</t>
    </rPh>
    <rPh sb="17" eb="19">
      <t>ザンギョウ</t>
    </rPh>
    <rPh sb="19" eb="21">
      <t>ジカン</t>
    </rPh>
    <rPh sb="24" eb="26">
      <t>チソウ</t>
    </rPh>
    <rPh sb="26" eb="29">
      <t>タイショウガイ</t>
    </rPh>
    <rPh sb="31" eb="33">
      <t>ショリ</t>
    </rPh>
    <rPh sb="39" eb="40">
      <t>レツ</t>
    </rPh>
    <rPh sb="42" eb="43">
      <t>レツ</t>
    </rPh>
    <rPh sb="45" eb="46">
      <t>レツ</t>
    </rPh>
    <rPh sb="47" eb="49">
      <t>ケイサン</t>
    </rPh>
    <rPh sb="49" eb="50">
      <t>シキ</t>
    </rPh>
    <rPh sb="51" eb="53">
      <t>シュウセイ</t>
    </rPh>
    <phoneticPr fontId="2"/>
  </si>
  <si>
    <t>・15分カウント⇔30分カウント　に自在に対応出来るように以下の修正を加えた。</t>
    <rPh sb="3" eb="4">
      <t>フン</t>
    </rPh>
    <rPh sb="11" eb="12">
      <t>フン</t>
    </rPh>
    <rPh sb="18" eb="20">
      <t>ジザイ</t>
    </rPh>
    <rPh sb="21" eb="23">
      <t>タイオウ</t>
    </rPh>
    <rPh sb="23" eb="25">
      <t>デキ</t>
    </rPh>
    <rPh sb="29" eb="31">
      <t>イカ</t>
    </rPh>
    <rPh sb="32" eb="34">
      <t>シュウセイ</t>
    </rPh>
    <rPh sb="35" eb="36">
      <t>クワ</t>
    </rPh>
    <phoneticPr fontId="2"/>
  </si>
  <si>
    <t>　E4セルで予め "15" or "30" 分カウントを選択させる</t>
    <rPh sb="6" eb="7">
      <t>アラカジ</t>
    </rPh>
    <rPh sb="22" eb="23">
      <t>フン</t>
    </rPh>
    <rPh sb="28" eb="30">
      <t>センタク</t>
    </rPh>
    <phoneticPr fontId="2"/>
  </si>
  <si>
    <t>↓</t>
    <phoneticPr fontId="2"/>
  </si>
  <si>
    <t>　E列のCEILING関数の引数を今までは"0:15"または"0:30"としてそれぞれ該当する社員に渡していたが、この引数をTIME(0,E$4,0)とすることで、どちらにも対応できるようにした。</t>
    <rPh sb="2" eb="3">
      <t>レツ</t>
    </rPh>
    <rPh sb="11" eb="13">
      <t>カンスウ</t>
    </rPh>
    <rPh sb="14" eb="16">
      <t>ヒキスウ</t>
    </rPh>
    <rPh sb="17" eb="18">
      <t>イマ</t>
    </rPh>
    <rPh sb="43" eb="45">
      <t>ガイトウ</t>
    </rPh>
    <rPh sb="47" eb="49">
      <t>シャイン</t>
    </rPh>
    <rPh sb="50" eb="51">
      <t>ワタ</t>
    </rPh>
    <rPh sb="59" eb="61">
      <t>ヒキスウ</t>
    </rPh>
    <rPh sb="87" eb="89">
      <t>タイオウ</t>
    </rPh>
    <phoneticPr fontId="2"/>
  </si>
  <si>
    <t>　同様にG列のFLOOR関数の引数も修正した。</t>
    <rPh sb="1" eb="3">
      <t>ドウヨウ</t>
    </rPh>
    <rPh sb="5" eb="6">
      <t>レツ</t>
    </rPh>
    <rPh sb="12" eb="14">
      <t>カンスウ</t>
    </rPh>
    <rPh sb="15" eb="17">
      <t>ヒキスウ</t>
    </rPh>
    <rPh sb="18" eb="20">
      <t>シュウセイ</t>
    </rPh>
    <phoneticPr fontId="2"/>
  </si>
  <si>
    <t>・L列の計算式中（L5セルを例に取る）、"TIME（8,0,0）-J5"という部分を"K5"と置き換えた。∵TIME（8,0,0）-J5は作業セルK5で計算しているから。</t>
    <rPh sb="2" eb="3">
      <t>レツ</t>
    </rPh>
    <rPh sb="4" eb="6">
      <t>ケイサン</t>
    </rPh>
    <rPh sb="6" eb="8">
      <t>シキチュウ</t>
    </rPh>
    <rPh sb="14" eb="15">
      <t>レイ</t>
    </rPh>
    <rPh sb="16" eb="17">
      <t>ト</t>
    </rPh>
    <rPh sb="39" eb="41">
      <t>ブブン</t>
    </rPh>
    <rPh sb="47" eb="48">
      <t>オ</t>
    </rPh>
    <rPh sb="49" eb="50">
      <t>カ</t>
    </rPh>
    <rPh sb="69" eb="71">
      <t>サギョウ</t>
    </rPh>
    <rPh sb="76" eb="78">
      <t>ケイサン</t>
    </rPh>
    <phoneticPr fontId="2"/>
  </si>
  <si>
    <t>・岩田さん用にカスタマイズ</t>
    <rPh sb="1" eb="3">
      <t>イワタ</t>
    </rPh>
    <rPh sb="5" eb="6">
      <t>ヨウ</t>
    </rPh>
    <phoneticPr fontId="2"/>
  </si>
  <si>
    <t>　N1,2セルで常用雇用かパートかを選択させるようにし、パートを選択した場合には遅早時間が8時間を基準としてではなく、所定労働時間3時間を基準として計算されるようにした。</t>
    <rPh sb="8" eb="10">
      <t>ジョウヨウ</t>
    </rPh>
    <rPh sb="10" eb="12">
      <t>コヨウ</t>
    </rPh>
    <rPh sb="18" eb="20">
      <t>センタク</t>
    </rPh>
    <rPh sb="32" eb="34">
      <t>センタク</t>
    </rPh>
    <rPh sb="36" eb="38">
      <t>バアイ</t>
    </rPh>
    <rPh sb="40" eb="42">
      <t>チソウ</t>
    </rPh>
    <rPh sb="42" eb="44">
      <t>ジカン</t>
    </rPh>
    <rPh sb="46" eb="48">
      <t>ジカン</t>
    </rPh>
    <rPh sb="49" eb="51">
      <t>キジュン</t>
    </rPh>
    <rPh sb="59" eb="61">
      <t>ショテイ</t>
    </rPh>
    <rPh sb="61" eb="63">
      <t>ロウドウ</t>
    </rPh>
    <rPh sb="63" eb="65">
      <t>ジカン</t>
    </rPh>
    <rPh sb="66" eb="68">
      <t>ジカン</t>
    </rPh>
    <rPh sb="69" eb="71">
      <t>キジュン</t>
    </rPh>
    <rPh sb="74" eb="76">
      <t>ケイサン</t>
    </rPh>
    <phoneticPr fontId="2"/>
  </si>
  <si>
    <t>Ver.060216</t>
    <phoneticPr fontId="2"/>
  </si>
  <si>
    <t>・新入社員及び、GITからJCDへの転籍組みの氏名を追加</t>
    <rPh sb="1" eb="3">
      <t>シンニュウ</t>
    </rPh>
    <rPh sb="3" eb="5">
      <t>シャイン</t>
    </rPh>
    <rPh sb="5" eb="6">
      <t>オヨ</t>
    </rPh>
    <rPh sb="18" eb="20">
      <t>テンセキ</t>
    </rPh>
    <rPh sb="20" eb="21">
      <t>グ</t>
    </rPh>
    <rPh sb="23" eb="25">
      <t>シメイ</t>
    </rPh>
    <rPh sb="26" eb="28">
      <t>ツイカ</t>
    </rPh>
    <phoneticPr fontId="2"/>
  </si>
  <si>
    <t>Ver.060710</t>
    <phoneticPr fontId="2"/>
  </si>
  <si>
    <t>・祝日表の振替休日欄を増設3日分から5日分へ。と同時に入力シートの作業セルにDI35,DI36と振替休日欄を増設し、祝日判定の計算式も併せて訂正した。</t>
    <rPh sb="1" eb="3">
      <t>シュクジツ</t>
    </rPh>
    <rPh sb="3" eb="4">
      <t>オモテ</t>
    </rPh>
    <rPh sb="5" eb="9">
      <t>フリカエキュウジツ</t>
    </rPh>
    <rPh sb="9" eb="10">
      <t>ラン</t>
    </rPh>
    <rPh sb="11" eb="13">
      <t>ゾウセツ</t>
    </rPh>
    <rPh sb="14" eb="16">
      <t>ニチブン</t>
    </rPh>
    <rPh sb="19" eb="21">
      <t>ニチブン</t>
    </rPh>
    <rPh sb="24" eb="26">
      <t>ドウジ</t>
    </rPh>
    <rPh sb="27" eb="29">
      <t>ニュウリョク</t>
    </rPh>
    <rPh sb="33" eb="35">
      <t>サギョウ</t>
    </rPh>
    <rPh sb="48" eb="52">
      <t>フリカエキュウジツ</t>
    </rPh>
    <rPh sb="52" eb="53">
      <t>ラン</t>
    </rPh>
    <rPh sb="54" eb="56">
      <t>ゾウセツ</t>
    </rPh>
    <rPh sb="58" eb="60">
      <t>シュクジツ</t>
    </rPh>
    <rPh sb="60" eb="62">
      <t>ハンテイ</t>
    </rPh>
    <rPh sb="63" eb="66">
      <t>ケイサンシキ</t>
    </rPh>
    <rPh sb="67" eb="68">
      <t>アワ</t>
    </rPh>
    <rPh sb="70" eb="72">
      <t>テイセイ</t>
    </rPh>
    <phoneticPr fontId="2"/>
  </si>
  <si>
    <t>Ver.070116</t>
    <phoneticPr fontId="2"/>
  </si>
  <si>
    <t>・業務報告欄を入力シートから削除（機密情報漏洩防止の観点から）し、印刷シートには作業フェーズを入力させることにした。</t>
    <rPh sb="1" eb="3">
      <t>ギョウム</t>
    </rPh>
    <rPh sb="3" eb="5">
      <t>ホウコク</t>
    </rPh>
    <rPh sb="5" eb="6">
      <t>ラン</t>
    </rPh>
    <rPh sb="7" eb="9">
      <t>ニュウリョク</t>
    </rPh>
    <rPh sb="14" eb="16">
      <t>サクジョ</t>
    </rPh>
    <rPh sb="17" eb="19">
      <t>キミツ</t>
    </rPh>
    <rPh sb="19" eb="21">
      <t>ジョウホウ</t>
    </rPh>
    <rPh sb="21" eb="23">
      <t>ロウエイ</t>
    </rPh>
    <rPh sb="23" eb="25">
      <t>ボウシ</t>
    </rPh>
    <rPh sb="26" eb="28">
      <t>カンテン</t>
    </rPh>
    <rPh sb="33" eb="35">
      <t>インサツ</t>
    </rPh>
    <rPh sb="40" eb="42">
      <t>サギョウ</t>
    </rPh>
    <rPh sb="47" eb="49">
      <t>ニュウリョク</t>
    </rPh>
    <phoneticPr fontId="2"/>
  </si>
  <si>
    <t>　それに伴い業務報告欄に代わるものとして｢付記｣欄を設けた。</t>
    <rPh sb="4" eb="5">
      <t>トモナ</t>
    </rPh>
    <rPh sb="6" eb="8">
      <t>ギョウム</t>
    </rPh>
    <rPh sb="8" eb="10">
      <t>ホウコク</t>
    </rPh>
    <rPh sb="10" eb="11">
      <t>ラン</t>
    </rPh>
    <rPh sb="12" eb="13">
      <t>カ</t>
    </rPh>
    <rPh sb="21" eb="23">
      <t>フキ</t>
    </rPh>
    <rPh sb="24" eb="25">
      <t>ラン</t>
    </rPh>
    <rPh sb="26" eb="27">
      <t>モウ</t>
    </rPh>
    <phoneticPr fontId="2"/>
  </si>
  <si>
    <t>・工程一覧表の内、小工程については各利用者が各々作業場所に合わせて作業内容をカスタマイズできるようにした。但し、大工程と中工程についてはINDIRECT関数の引数で</t>
    <rPh sb="1" eb="3">
      <t>コウテイ</t>
    </rPh>
    <rPh sb="3" eb="5">
      <t>イチラン</t>
    </rPh>
    <rPh sb="5" eb="6">
      <t>ヒョウ</t>
    </rPh>
    <rPh sb="7" eb="8">
      <t>ウチ</t>
    </rPh>
    <rPh sb="9" eb="10">
      <t>ショウ</t>
    </rPh>
    <rPh sb="10" eb="12">
      <t>コウテイ</t>
    </rPh>
    <rPh sb="17" eb="21">
      <t>カクリヨウシャ</t>
    </rPh>
    <rPh sb="22" eb="24">
      <t>オノオノ</t>
    </rPh>
    <rPh sb="24" eb="26">
      <t>サギョウ</t>
    </rPh>
    <rPh sb="26" eb="28">
      <t>バショ</t>
    </rPh>
    <rPh sb="29" eb="30">
      <t>ア</t>
    </rPh>
    <rPh sb="33" eb="35">
      <t>サギョウ</t>
    </rPh>
    <rPh sb="35" eb="37">
      <t>ナイヨウ</t>
    </rPh>
    <rPh sb="53" eb="54">
      <t>タダ</t>
    </rPh>
    <rPh sb="56" eb="57">
      <t>ダイ</t>
    </rPh>
    <rPh sb="57" eb="59">
      <t>コウテイ</t>
    </rPh>
    <rPh sb="60" eb="61">
      <t>チュウ</t>
    </rPh>
    <rPh sb="61" eb="63">
      <t>コウテイ</t>
    </rPh>
    <rPh sb="76" eb="78">
      <t>カンスウ</t>
    </rPh>
    <rPh sb="79" eb="81">
      <t>ヒキスウ</t>
    </rPh>
    <phoneticPr fontId="2"/>
  </si>
  <si>
    <t>　セル範囲に範囲名を付けなければならない為、カスタマイズは不可とした。</t>
    <rPh sb="3" eb="5">
      <t>ハンイ</t>
    </rPh>
    <rPh sb="6" eb="9">
      <t>ハンイメイ</t>
    </rPh>
    <rPh sb="10" eb="11">
      <t>ツ</t>
    </rPh>
    <rPh sb="20" eb="21">
      <t>タメ</t>
    </rPh>
    <rPh sb="29" eb="31">
      <t>フカ</t>
    </rPh>
    <phoneticPr fontId="2"/>
  </si>
  <si>
    <t>・社員名のリストを場所を変えて今までより多人数対応させた。</t>
    <rPh sb="1" eb="3">
      <t>シャイン</t>
    </rPh>
    <rPh sb="3" eb="4">
      <t>メイ</t>
    </rPh>
    <rPh sb="9" eb="11">
      <t>バショ</t>
    </rPh>
    <rPh sb="12" eb="13">
      <t>カ</t>
    </rPh>
    <rPh sb="15" eb="16">
      <t>イマ</t>
    </rPh>
    <rPh sb="20" eb="23">
      <t>タニンズウ</t>
    </rPh>
    <rPh sb="23" eb="25">
      <t>タイオウ</t>
    </rPh>
    <phoneticPr fontId="2"/>
  </si>
  <si>
    <t>Ver.070307</t>
    <phoneticPr fontId="2"/>
  </si>
  <si>
    <t>・岩村が係長にH19/4/1付けで昇進した為（JCD初のポスト）、役職欄に係長及び課長代理を追加</t>
    <rPh sb="1" eb="3">
      <t>イワムラ</t>
    </rPh>
    <rPh sb="4" eb="6">
      <t>カカリチョウ</t>
    </rPh>
    <rPh sb="14" eb="15">
      <t>ヅ</t>
    </rPh>
    <rPh sb="17" eb="19">
      <t>ショウシン</t>
    </rPh>
    <rPh sb="21" eb="22">
      <t>タメ</t>
    </rPh>
    <rPh sb="26" eb="27">
      <t>ハツ</t>
    </rPh>
    <rPh sb="33" eb="35">
      <t>ヤクショク</t>
    </rPh>
    <rPh sb="35" eb="36">
      <t>ラン</t>
    </rPh>
    <rPh sb="37" eb="39">
      <t>カカリチョウ</t>
    </rPh>
    <rPh sb="39" eb="40">
      <t>オヨ</t>
    </rPh>
    <rPh sb="41" eb="43">
      <t>カチョウ</t>
    </rPh>
    <rPh sb="43" eb="45">
      <t>ダイリ</t>
    </rPh>
    <rPh sb="46" eb="48">
      <t>ツイカ</t>
    </rPh>
    <phoneticPr fontId="2"/>
  </si>
  <si>
    <t>・課長以上については完全月給制となり、残業代は付かないが欠勤控除もナシ・・・H19/4/5社長と細田さんとの電話内容より</t>
    <rPh sb="1" eb="3">
      <t>カチョウ</t>
    </rPh>
    <rPh sb="3" eb="5">
      <t>イジョウ</t>
    </rPh>
    <rPh sb="10" eb="12">
      <t>カンゼン</t>
    </rPh>
    <rPh sb="12" eb="14">
      <t>ゲッキュウ</t>
    </rPh>
    <rPh sb="14" eb="15">
      <t>セイ</t>
    </rPh>
    <rPh sb="19" eb="22">
      <t>ザンギョウダイ</t>
    </rPh>
    <rPh sb="23" eb="24">
      <t>ツ</t>
    </rPh>
    <rPh sb="28" eb="30">
      <t>ケッキン</t>
    </rPh>
    <rPh sb="30" eb="32">
      <t>コウジョ</t>
    </rPh>
    <rPh sb="45" eb="47">
      <t>シャチョウ</t>
    </rPh>
    <rPh sb="48" eb="50">
      <t>ホソダ</t>
    </rPh>
    <rPh sb="54" eb="56">
      <t>デンワ</t>
    </rPh>
    <rPh sb="56" eb="58">
      <t>ナイヨウ</t>
    </rPh>
    <phoneticPr fontId="2"/>
  </si>
  <si>
    <t>Ver.070405</t>
    <phoneticPr fontId="2"/>
  </si>
  <si>
    <t>・入力シートのQ列（勤怠入力欄）のドロップダウンリストの参照先から"■予定■"を除いた。尚、計算式中"■予定■"かどうかを問うところがあるが、式の修正が面倒なので</t>
    <rPh sb="1" eb="3">
      <t>ニュウリョク</t>
    </rPh>
    <rPh sb="8" eb="9">
      <t>レツ</t>
    </rPh>
    <rPh sb="10" eb="12">
      <t>キンタイ</t>
    </rPh>
    <rPh sb="12" eb="14">
      <t>ニュウリョク</t>
    </rPh>
    <rPh sb="14" eb="15">
      <t>ラン</t>
    </rPh>
    <rPh sb="28" eb="30">
      <t>サンショウ</t>
    </rPh>
    <rPh sb="30" eb="31">
      <t>サキ</t>
    </rPh>
    <rPh sb="35" eb="37">
      <t>ヨテイ</t>
    </rPh>
    <rPh sb="40" eb="41">
      <t>ノゾ</t>
    </rPh>
    <rPh sb="44" eb="45">
      <t>ナオ</t>
    </rPh>
    <rPh sb="46" eb="48">
      <t>ケイサン</t>
    </rPh>
    <rPh sb="48" eb="49">
      <t>シキ</t>
    </rPh>
    <rPh sb="49" eb="50">
      <t>チュウ</t>
    </rPh>
    <rPh sb="52" eb="54">
      <t>ヨテイ</t>
    </rPh>
    <rPh sb="61" eb="62">
      <t>ト</t>
    </rPh>
    <rPh sb="71" eb="72">
      <t>シキ</t>
    </rPh>
    <rPh sb="73" eb="75">
      <t>シュウセイ</t>
    </rPh>
    <rPh sb="76" eb="78">
      <t>メンドウ</t>
    </rPh>
    <phoneticPr fontId="2"/>
  </si>
  <si>
    <t>単に、リストの範囲外とするに留めている。</t>
    <rPh sb="0" eb="1">
      <t>タン</t>
    </rPh>
    <rPh sb="7" eb="9">
      <t>ハンイ</t>
    </rPh>
    <rPh sb="9" eb="10">
      <t>ガイ</t>
    </rPh>
    <rPh sb="14" eb="15">
      <t>トド</t>
    </rPh>
    <phoneticPr fontId="2"/>
  </si>
  <si>
    <t>・入力シートのＬ列（遅早時間の計算セル）の最後のAND関数を訂正</t>
    <rPh sb="1" eb="3">
      <t>ニュウリョク</t>
    </rPh>
    <rPh sb="8" eb="9">
      <t>レツ</t>
    </rPh>
    <rPh sb="10" eb="12">
      <t>チソウ</t>
    </rPh>
    <rPh sb="12" eb="14">
      <t>ジカン</t>
    </rPh>
    <rPh sb="15" eb="17">
      <t>ケイサン</t>
    </rPh>
    <rPh sb="21" eb="23">
      <t>サイゴ</t>
    </rPh>
    <rPh sb="27" eb="29">
      <t>カンスウ</t>
    </rPh>
    <rPh sb="30" eb="32">
      <t>テイセイ</t>
    </rPh>
    <phoneticPr fontId="2"/>
  </si>
  <si>
    <t>IF（AND（K5&gt;0,J5&lt;$E$2）,K5,0）⇒IF（K5&gt;0,K5,0）とした（尚、この式はＬ５セルを例にとっている）</t>
    <rPh sb="44" eb="45">
      <t>ナオ</t>
    </rPh>
    <rPh sb="48" eb="49">
      <t>シキ</t>
    </rPh>
    <rPh sb="55" eb="56">
      <t>レイ</t>
    </rPh>
    <phoneticPr fontId="2"/>
  </si>
  <si>
    <t>暫くこの訂正後の勤務表の様子を見ておかしな数値が出るようだったら元に戻せばよいだろう。</t>
    <rPh sb="0" eb="1">
      <t>シバラ</t>
    </rPh>
    <rPh sb="4" eb="6">
      <t>テイセイ</t>
    </rPh>
    <rPh sb="6" eb="7">
      <t>ゴ</t>
    </rPh>
    <rPh sb="8" eb="10">
      <t>キンム</t>
    </rPh>
    <rPh sb="10" eb="11">
      <t>ヒョウ</t>
    </rPh>
    <rPh sb="12" eb="14">
      <t>ヨウス</t>
    </rPh>
    <rPh sb="15" eb="16">
      <t>ミ</t>
    </rPh>
    <rPh sb="21" eb="23">
      <t>スウチ</t>
    </rPh>
    <rPh sb="24" eb="25">
      <t>デ</t>
    </rPh>
    <rPh sb="32" eb="33">
      <t>モト</t>
    </rPh>
    <rPh sb="34" eb="35">
      <t>モド</t>
    </rPh>
    <phoneticPr fontId="2"/>
  </si>
  <si>
    <t>・岩田さん用に関数の修正</t>
    <rPh sb="1" eb="3">
      <t>イワタ</t>
    </rPh>
    <rPh sb="5" eb="6">
      <t>ヨウ</t>
    </rPh>
    <rPh sb="7" eb="9">
      <t>カンスウ</t>
    </rPh>
    <rPh sb="10" eb="12">
      <t>シュウセイ</t>
    </rPh>
    <phoneticPr fontId="2"/>
  </si>
  <si>
    <t>（目的）</t>
    <rPh sb="1" eb="3">
      <t>モクテキ</t>
    </rPh>
    <phoneticPr fontId="2"/>
  </si>
  <si>
    <t>岩田さんはパートではなく常用雇用（として事実上扱うべきだろう）だが、所定稼働時間の設定は7.0ｈである。したがって、遅早時間を計算する際の基準が</t>
    <rPh sb="0" eb="2">
      <t>イワタ</t>
    </rPh>
    <rPh sb="12" eb="14">
      <t>ジョウヨウ</t>
    </rPh>
    <rPh sb="14" eb="16">
      <t>コヨウ</t>
    </rPh>
    <rPh sb="20" eb="23">
      <t>ジジツジョウ</t>
    </rPh>
    <rPh sb="23" eb="24">
      <t>アツカ</t>
    </rPh>
    <rPh sb="34" eb="36">
      <t>ショテイ</t>
    </rPh>
    <rPh sb="36" eb="38">
      <t>カドウ</t>
    </rPh>
    <rPh sb="38" eb="40">
      <t>ジカン</t>
    </rPh>
    <rPh sb="41" eb="43">
      <t>セッテイ</t>
    </rPh>
    <rPh sb="58" eb="60">
      <t>チソウ</t>
    </rPh>
    <rPh sb="60" eb="62">
      <t>ジカン</t>
    </rPh>
    <rPh sb="63" eb="65">
      <t>ケイサン</t>
    </rPh>
    <rPh sb="67" eb="68">
      <t>サイ</t>
    </rPh>
    <rPh sb="69" eb="71">
      <t>キジュン</t>
    </rPh>
    <phoneticPr fontId="2"/>
  </si>
  <si>
    <t>他の常用雇用社員とは異なり7.0ｈでなくてはならない。</t>
    <rPh sb="0" eb="1">
      <t>タ</t>
    </rPh>
    <rPh sb="2" eb="4">
      <t>ジョウヨウ</t>
    </rPh>
    <rPh sb="4" eb="6">
      <t>コヨウ</t>
    </rPh>
    <rPh sb="6" eb="8">
      <t>シャイン</t>
    </rPh>
    <rPh sb="10" eb="11">
      <t>コト</t>
    </rPh>
    <phoneticPr fontId="2"/>
  </si>
  <si>
    <t>そのために、遅早時間作業セル（K列）の計算式を修正した。</t>
    <rPh sb="6" eb="8">
      <t>チソウ</t>
    </rPh>
    <rPh sb="8" eb="10">
      <t>ジカン</t>
    </rPh>
    <rPh sb="10" eb="12">
      <t>サギョウ</t>
    </rPh>
    <rPh sb="16" eb="17">
      <t>レツ</t>
    </rPh>
    <rPh sb="19" eb="21">
      <t>ケイサン</t>
    </rPh>
    <rPh sb="21" eb="22">
      <t>シキ</t>
    </rPh>
    <rPh sb="23" eb="25">
      <t>シュウセイ</t>
    </rPh>
    <phoneticPr fontId="2"/>
  </si>
  <si>
    <t>（パートじゃないけど、岩田さんの基準を7.0ｈにしたい）</t>
    <rPh sb="11" eb="13">
      <t>イワタ</t>
    </rPh>
    <rPh sb="16" eb="18">
      <t>キジュン</t>
    </rPh>
    <phoneticPr fontId="2"/>
  </si>
  <si>
    <t>（内容）</t>
    <rPh sb="1" eb="3">
      <t>ナイヨウ</t>
    </rPh>
    <phoneticPr fontId="2"/>
  </si>
  <si>
    <t>K5セルを例にとる</t>
    <rPh sb="5" eb="6">
      <t>レイ</t>
    </rPh>
    <phoneticPr fontId="2"/>
  </si>
  <si>
    <t>IF($N$2="常用雇用",TIME(8,0,0)-J5,IF（$N$2="パート",$E$2-J5,0））</t>
    <rPh sb="9" eb="11">
      <t>ジョウヨウ</t>
    </rPh>
    <rPh sb="11" eb="13">
      <t>コヨウ</t>
    </rPh>
    <phoneticPr fontId="2"/>
  </si>
  <si>
    <t>頭に、IF（$D$2="岩田好世",$E$2-J5　を足して岩田さんのみ7.0ｈ基準とできるようにした。</t>
    <rPh sb="0" eb="1">
      <t>アタマ</t>
    </rPh>
    <rPh sb="12" eb="14">
      <t>イワタ</t>
    </rPh>
    <rPh sb="14" eb="16">
      <t>ヨシヨ</t>
    </rPh>
    <rPh sb="27" eb="28">
      <t>タ</t>
    </rPh>
    <rPh sb="30" eb="32">
      <t>イワタ</t>
    </rPh>
    <rPh sb="40" eb="42">
      <t>キジュン</t>
    </rPh>
    <phoneticPr fontId="2"/>
  </si>
  <si>
    <t>・DX列（遅刻日数のカウント）　</t>
    <rPh sb="3" eb="4">
      <t>レツ</t>
    </rPh>
    <rPh sb="5" eb="7">
      <t>チコク</t>
    </rPh>
    <rPh sb="7" eb="9">
      <t>ニッスウ</t>
    </rPh>
    <phoneticPr fontId="2"/>
  </si>
  <si>
    <t>（DX5を例にとる）</t>
    <rPh sb="5" eb="6">
      <t>レイ</t>
    </rPh>
    <phoneticPr fontId="2"/>
  </si>
  <si>
    <t>DX5=　IF（L5=TIME(0,0,0),0,1)　⇒　IF(L5&gt;0.000001,1,0)　として、ズバリ"0"ではないが"0.00000・・・000055・・"というような計算結果にも対応させた。</t>
    <rPh sb="91" eb="93">
      <t>ケイサン</t>
    </rPh>
    <rPh sb="93" eb="95">
      <t>ケッカ</t>
    </rPh>
    <rPh sb="97" eb="99">
      <t>タイオウ</t>
    </rPh>
    <phoneticPr fontId="2"/>
  </si>
  <si>
    <t>Ver.071024</t>
    <phoneticPr fontId="2"/>
  </si>
  <si>
    <t>・R列に残業申請と休出申請を別紙で提出する必要がある日の判定を行うようにした。</t>
    <rPh sb="2" eb="3">
      <t>レツ</t>
    </rPh>
    <rPh sb="4" eb="6">
      <t>ザンギョウ</t>
    </rPh>
    <rPh sb="6" eb="8">
      <t>シンセイ</t>
    </rPh>
    <rPh sb="9" eb="11">
      <t>キュウシュツ</t>
    </rPh>
    <rPh sb="11" eb="13">
      <t>シンセイ</t>
    </rPh>
    <rPh sb="14" eb="16">
      <t>ベッシ</t>
    </rPh>
    <rPh sb="17" eb="19">
      <t>テイシュツ</t>
    </rPh>
    <rPh sb="21" eb="23">
      <t>ヒツヨウ</t>
    </rPh>
    <rPh sb="26" eb="27">
      <t>ヒ</t>
    </rPh>
    <rPh sb="28" eb="30">
      <t>ハンテイ</t>
    </rPh>
    <rPh sb="31" eb="32">
      <t>オコナ</t>
    </rPh>
    <phoneticPr fontId="2"/>
  </si>
  <si>
    <t>計算式は、残業時間があるor土日祝に労働時間がある⇒残業等申請該当　と判定。このように組んでいる。</t>
    <rPh sb="0" eb="2">
      <t>ケイサン</t>
    </rPh>
    <rPh sb="2" eb="3">
      <t>シキ</t>
    </rPh>
    <rPh sb="5" eb="7">
      <t>ザンギョウ</t>
    </rPh>
    <rPh sb="7" eb="9">
      <t>ジカン</t>
    </rPh>
    <rPh sb="14" eb="16">
      <t>ドニチ</t>
    </rPh>
    <rPh sb="16" eb="17">
      <t>シュク</t>
    </rPh>
    <rPh sb="18" eb="20">
      <t>ロウドウ</t>
    </rPh>
    <rPh sb="20" eb="22">
      <t>ジカン</t>
    </rPh>
    <rPh sb="26" eb="29">
      <t>ザンギョウナド</t>
    </rPh>
    <rPh sb="29" eb="31">
      <t>シンセイ</t>
    </rPh>
    <rPh sb="31" eb="33">
      <t>ガイトウ</t>
    </rPh>
    <rPh sb="35" eb="37">
      <t>ハンテイ</t>
    </rPh>
    <rPh sb="43" eb="44">
      <t>ク</t>
    </rPh>
    <phoneticPr fontId="2"/>
  </si>
  <si>
    <t>・遅早で無いのに遅早として計算されることがある不具合の修正（ＴＥＣを例に考える）</t>
    <rPh sb="1" eb="3">
      <t>チソウ</t>
    </rPh>
    <rPh sb="4" eb="5">
      <t>ナ</t>
    </rPh>
    <rPh sb="8" eb="10">
      <t>チソウ</t>
    </rPh>
    <rPh sb="13" eb="15">
      <t>ケイサン</t>
    </rPh>
    <rPh sb="23" eb="26">
      <t>フグアイ</t>
    </rPh>
    <rPh sb="27" eb="29">
      <t>シュウセイ</t>
    </rPh>
    <rPh sb="34" eb="35">
      <t>レイ</t>
    </rPh>
    <rPh sb="36" eb="37">
      <t>カンガ</t>
    </rPh>
    <phoneticPr fontId="2"/>
  </si>
  <si>
    <t>⇒7：30が所定稼動で所定始業時刻は10：00　この条件下で10：00～18：30（休憩1：00）⇒実働7：30　という勤務を入力すると30分の遅刻となる不具合の修正</t>
    <rPh sb="6" eb="8">
      <t>ショテイ</t>
    </rPh>
    <rPh sb="8" eb="10">
      <t>カドウ</t>
    </rPh>
    <rPh sb="11" eb="13">
      <t>ショテイ</t>
    </rPh>
    <rPh sb="13" eb="15">
      <t>シギョウ</t>
    </rPh>
    <rPh sb="15" eb="17">
      <t>ジコク</t>
    </rPh>
    <rPh sb="26" eb="28">
      <t>ジョウケン</t>
    </rPh>
    <rPh sb="28" eb="29">
      <t>シタ</t>
    </rPh>
    <rPh sb="42" eb="44">
      <t>キュウケイ</t>
    </rPh>
    <rPh sb="50" eb="52">
      <t>ジツドウ</t>
    </rPh>
    <rPh sb="60" eb="62">
      <t>キンム</t>
    </rPh>
    <rPh sb="63" eb="65">
      <t>ニュウリョク</t>
    </rPh>
    <rPh sb="70" eb="71">
      <t>フン</t>
    </rPh>
    <rPh sb="72" eb="74">
      <t>チコク</t>
    </rPh>
    <rPh sb="77" eb="80">
      <t>フグアイ</t>
    </rPh>
    <rPh sb="81" eb="83">
      <t>シュウセイ</t>
    </rPh>
    <phoneticPr fontId="2"/>
  </si>
  <si>
    <t>K列の遅早時間作業セルについて修正を試みた（例は15行目（K15））</t>
    <rPh sb="1" eb="2">
      <t>レツ</t>
    </rPh>
    <rPh sb="3" eb="5">
      <t>チソウ</t>
    </rPh>
    <rPh sb="5" eb="7">
      <t>ジカン</t>
    </rPh>
    <rPh sb="7" eb="9">
      <t>サギョウ</t>
    </rPh>
    <rPh sb="15" eb="17">
      <t>シュウセイ</t>
    </rPh>
    <rPh sb="18" eb="19">
      <t>ココロ</t>
    </rPh>
    <rPh sb="22" eb="23">
      <t>レイ</t>
    </rPh>
    <rPh sb="26" eb="28">
      <t>ギョウメ</t>
    </rPh>
    <phoneticPr fontId="2"/>
  </si>
  <si>
    <t>【修正前】　=　IF　$D$2="岩田好世"　-T→　$E$2-J15</t>
    <rPh sb="1" eb="3">
      <t>シュウセイ</t>
    </rPh>
    <rPh sb="3" eb="4">
      <t>マエ</t>
    </rPh>
    <rPh sb="17" eb="19">
      <t>イワタ</t>
    </rPh>
    <rPh sb="19" eb="21">
      <t>ヨシヨ</t>
    </rPh>
    <phoneticPr fontId="2"/>
  </si>
  <si>
    <r>
      <t>　　　　　　　　　　　　　　　　　　　　　　　 -F→　IF　$N$2="常用雇用"　-T→　</t>
    </r>
    <r>
      <rPr>
        <b/>
        <sz val="11"/>
        <color indexed="10"/>
        <rFont val="ＭＳ Ｐゴシック"/>
        <family val="3"/>
        <charset val="128"/>
      </rPr>
      <t>TIME(8,0,0)-J15　</t>
    </r>
    <r>
      <rPr>
        <sz val="11"/>
        <color indexed="10"/>
        <rFont val="ＭＳ Ｐゴシック"/>
        <family val="3"/>
        <charset val="128"/>
      </rPr>
      <t>←これだと常用雇用の場合、所定が8ｈ未満の作業場所は所定やって上ったとき遅早と判定される。</t>
    </r>
    <rPh sb="37" eb="39">
      <t>ジョウヨウ</t>
    </rPh>
    <rPh sb="39" eb="41">
      <t>コヨウ</t>
    </rPh>
    <rPh sb="68" eb="70">
      <t>ジョウヨウ</t>
    </rPh>
    <rPh sb="70" eb="72">
      <t>コヨウ</t>
    </rPh>
    <rPh sb="73" eb="75">
      <t>バアイ</t>
    </rPh>
    <rPh sb="76" eb="78">
      <t>ショテイ</t>
    </rPh>
    <rPh sb="81" eb="83">
      <t>ミマン</t>
    </rPh>
    <rPh sb="84" eb="86">
      <t>サギョウ</t>
    </rPh>
    <rPh sb="86" eb="88">
      <t>バショ</t>
    </rPh>
    <rPh sb="89" eb="91">
      <t>ショテイ</t>
    </rPh>
    <rPh sb="94" eb="95">
      <t>アガ</t>
    </rPh>
    <rPh sb="99" eb="101">
      <t>チソウ</t>
    </rPh>
    <rPh sb="102" eb="104">
      <t>ハンテイ</t>
    </rPh>
    <phoneticPr fontId="2"/>
  </si>
  <si>
    <t>　　　　　　　　　　　　　　　　　　　　　　　　　　　　　　　　　　　　　　　　　　 -F→　IF　$N$2="パート"　-T→　$E$2-J15</t>
    <phoneticPr fontId="2"/>
  </si>
  <si>
    <t>　　　　　　　　　　　　　　　　　　　　　　　　　　　　　　　　　　　　　　　　　　　　　　　　　　　　　　　　　　　 -F→　0</t>
    <phoneticPr fontId="2"/>
  </si>
  <si>
    <t>【修正後】　=　IF　$D$2="岩田好世"　-T→　$E$2-J15</t>
    <rPh sb="1" eb="3">
      <t>シュウセイ</t>
    </rPh>
    <rPh sb="3" eb="4">
      <t>ゴ</t>
    </rPh>
    <rPh sb="17" eb="19">
      <t>イワタ</t>
    </rPh>
    <rPh sb="19" eb="21">
      <t>ヨシヨ</t>
    </rPh>
    <phoneticPr fontId="2"/>
  </si>
  <si>
    <r>
      <t>　　　　　　　　　　　　　　　　　　　　　　　 -F→　IF　$N$2="常用雇用"　-T→　</t>
    </r>
    <r>
      <rPr>
        <b/>
        <sz val="11"/>
        <color indexed="12"/>
        <rFont val="ＭＳ Ｐゴシック"/>
        <family val="3"/>
        <charset val="128"/>
      </rPr>
      <t>IF　$E$2 &gt; J15  -T→　TIME(8,0,0)-J15</t>
    </r>
    <rPh sb="37" eb="39">
      <t>ジョウヨウ</t>
    </rPh>
    <rPh sb="39" eb="41">
      <t>コヨウ</t>
    </rPh>
    <phoneticPr fontId="2"/>
  </si>
  <si>
    <r>
      <t xml:space="preserve">　　　　　　　　　　　　　　　　　　　　　　　　　　　　　　　　　　　　　　　　　　　　　　　　　　　　　　　　　　  </t>
    </r>
    <r>
      <rPr>
        <b/>
        <sz val="11"/>
        <color indexed="12"/>
        <rFont val="ＭＳ Ｐゴシック"/>
        <family val="3"/>
        <charset val="128"/>
      </rPr>
      <t>-F→　0</t>
    </r>
    <phoneticPr fontId="2"/>
  </si>
  <si>
    <t>Ver.071129残業申請対応版</t>
    <rPh sb="10" eb="12">
      <t>ザンギョウ</t>
    </rPh>
    <rPh sb="12" eb="14">
      <t>シンセイ</t>
    </rPh>
    <rPh sb="14" eb="16">
      <t>タイオウ</t>
    </rPh>
    <rPh sb="16" eb="17">
      <t>バン</t>
    </rPh>
    <phoneticPr fontId="2"/>
  </si>
  <si>
    <t>・届書の様式を変更した。</t>
    <rPh sb="1" eb="3">
      <t>トドケショ</t>
    </rPh>
    <rPh sb="4" eb="6">
      <t>ヨウシキ</t>
    </rPh>
    <rPh sb="7" eb="9">
      <t>ヘンコウ</t>
    </rPh>
    <phoneticPr fontId="2"/>
  </si>
  <si>
    <t>　1月から12月まで届出内容を溜めるようし、後で長崎さんがマクロ等を使って集計取りやすくしている。尚、届出内容を消去するマクロを作ってあるが、</t>
    <rPh sb="2" eb="3">
      <t>ガツ</t>
    </rPh>
    <rPh sb="7" eb="8">
      <t>ガツ</t>
    </rPh>
    <rPh sb="10" eb="12">
      <t>トドケデ</t>
    </rPh>
    <rPh sb="12" eb="14">
      <t>ナイヨウ</t>
    </rPh>
    <rPh sb="15" eb="16">
      <t>タ</t>
    </rPh>
    <rPh sb="22" eb="23">
      <t>アト</t>
    </rPh>
    <rPh sb="24" eb="26">
      <t>ナガサキ</t>
    </rPh>
    <rPh sb="32" eb="33">
      <t>トウ</t>
    </rPh>
    <rPh sb="34" eb="35">
      <t>ツカ</t>
    </rPh>
    <rPh sb="37" eb="39">
      <t>シュウケイ</t>
    </rPh>
    <rPh sb="39" eb="40">
      <t>ト</t>
    </rPh>
    <rPh sb="49" eb="50">
      <t>ナオ</t>
    </rPh>
    <rPh sb="51" eb="53">
      <t>トドケデ</t>
    </rPh>
    <rPh sb="53" eb="55">
      <t>ナイヨウ</t>
    </rPh>
    <rPh sb="56" eb="58">
      <t>ショウキョ</t>
    </rPh>
    <rPh sb="64" eb="65">
      <t>ツク</t>
    </rPh>
    <phoneticPr fontId="2"/>
  </si>
  <si>
    <t>　ボタン等を作ってそこにマクロを登録することはしていない。つまり保留中。</t>
    <rPh sb="4" eb="5">
      <t>トウ</t>
    </rPh>
    <rPh sb="6" eb="7">
      <t>ツク</t>
    </rPh>
    <rPh sb="16" eb="18">
      <t>トウロク</t>
    </rPh>
    <rPh sb="32" eb="34">
      <t>ホリュウ</t>
    </rPh>
    <rPh sb="34" eb="35">
      <t>チュウ</t>
    </rPh>
    <phoneticPr fontId="2"/>
  </si>
  <si>
    <t>・残業申請書の有無の判定を月曜日のみ行うことにした。</t>
    <rPh sb="1" eb="3">
      <t>ザンギョウ</t>
    </rPh>
    <rPh sb="3" eb="6">
      <t>シンセイショ</t>
    </rPh>
    <rPh sb="7" eb="9">
      <t>ウム</t>
    </rPh>
    <rPh sb="10" eb="12">
      <t>ハンテイ</t>
    </rPh>
    <rPh sb="13" eb="16">
      <t>ゲツヨウビ</t>
    </rPh>
    <rPh sb="18" eb="19">
      <t>オコナ</t>
    </rPh>
    <phoneticPr fontId="2"/>
  </si>
  <si>
    <t>Ver.080117残業申請対応版</t>
    <rPh sb="10" eb="12">
      <t>ザンギョウ</t>
    </rPh>
    <rPh sb="12" eb="14">
      <t>シンセイ</t>
    </rPh>
    <rPh sb="14" eb="16">
      <t>タイオウ</t>
    </rPh>
    <rPh sb="16" eb="17">
      <t>バン</t>
    </rPh>
    <phoneticPr fontId="2"/>
  </si>
  <si>
    <t>・就業規則上の休日を土日祝日とは別に休日として適正に取り扱われるように関数の修正を図った</t>
    <rPh sb="1" eb="3">
      <t>シュウギョウ</t>
    </rPh>
    <rPh sb="3" eb="5">
      <t>キソク</t>
    </rPh>
    <rPh sb="5" eb="6">
      <t>ジョウ</t>
    </rPh>
    <rPh sb="7" eb="9">
      <t>キュウジツ</t>
    </rPh>
    <rPh sb="10" eb="12">
      <t>ドニチ</t>
    </rPh>
    <rPh sb="12" eb="14">
      <t>シュクジツ</t>
    </rPh>
    <rPh sb="16" eb="17">
      <t>ベツ</t>
    </rPh>
    <rPh sb="18" eb="20">
      <t>キュウジツ</t>
    </rPh>
    <rPh sb="23" eb="25">
      <t>テキセイ</t>
    </rPh>
    <rPh sb="26" eb="27">
      <t>ト</t>
    </rPh>
    <rPh sb="28" eb="29">
      <t>アツカ</t>
    </rPh>
    <rPh sb="35" eb="37">
      <t>カンスウ</t>
    </rPh>
    <rPh sb="38" eb="40">
      <t>シュウセイ</t>
    </rPh>
    <rPh sb="41" eb="42">
      <t>ハカ</t>
    </rPh>
    <phoneticPr fontId="2"/>
  </si>
  <si>
    <t>①祝日表の振替休日欄を5日間とし、就業規則上の休日欄を7日分新設した。</t>
    <rPh sb="1" eb="3">
      <t>シュクジツ</t>
    </rPh>
    <rPh sb="3" eb="4">
      <t>ヒョウ</t>
    </rPh>
    <rPh sb="5" eb="7">
      <t>フリカエ</t>
    </rPh>
    <rPh sb="7" eb="9">
      <t>キュウジツ</t>
    </rPh>
    <rPh sb="9" eb="10">
      <t>ラン</t>
    </rPh>
    <rPh sb="12" eb="13">
      <t>ニチ</t>
    </rPh>
    <rPh sb="13" eb="14">
      <t>カン</t>
    </rPh>
    <rPh sb="17" eb="19">
      <t>シュウギョウ</t>
    </rPh>
    <rPh sb="19" eb="21">
      <t>キソク</t>
    </rPh>
    <rPh sb="21" eb="22">
      <t>ジョウ</t>
    </rPh>
    <rPh sb="23" eb="25">
      <t>キュウジツ</t>
    </rPh>
    <rPh sb="25" eb="26">
      <t>ラン</t>
    </rPh>
    <rPh sb="28" eb="30">
      <t>ニチブン</t>
    </rPh>
    <rPh sb="30" eb="32">
      <t>シンセツ</t>
    </rPh>
    <phoneticPr fontId="2"/>
  </si>
  <si>
    <t>②入力シートのDH列、DI列で振替休日及び就業規則上の休日を参照しているので、そこについても修正。</t>
    <rPh sb="1" eb="3">
      <t>ニュウリョク</t>
    </rPh>
    <rPh sb="9" eb="10">
      <t>レツ</t>
    </rPh>
    <rPh sb="13" eb="14">
      <t>レツ</t>
    </rPh>
    <rPh sb="15" eb="17">
      <t>フリカエ</t>
    </rPh>
    <rPh sb="17" eb="19">
      <t>キュウジツ</t>
    </rPh>
    <rPh sb="19" eb="20">
      <t>オヨ</t>
    </rPh>
    <rPh sb="21" eb="23">
      <t>シュウギョウ</t>
    </rPh>
    <rPh sb="23" eb="25">
      <t>キソク</t>
    </rPh>
    <rPh sb="25" eb="26">
      <t>ジョウ</t>
    </rPh>
    <rPh sb="27" eb="29">
      <t>キュウジツ</t>
    </rPh>
    <rPh sb="30" eb="32">
      <t>サンショウ</t>
    </rPh>
    <rPh sb="46" eb="48">
      <t>シュウセイ</t>
    </rPh>
    <phoneticPr fontId="2"/>
  </si>
  <si>
    <t>③入力シートのC列（祝日判定及び表示の関数）の関数の修正</t>
    <rPh sb="1" eb="3">
      <t>ニュウリョク</t>
    </rPh>
    <rPh sb="8" eb="9">
      <t>レツ</t>
    </rPh>
    <rPh sb="10" eb="12">
      <t>シュクジツ</t>
    </rPh>
    <rPh sb="12" eb="14">
      <t>ハンテイ</t>
    </rPh>
    <rPh sb="14" eb="15">
      <t>オヨ</t>
    </rPh>
    <rPh sb="16" eb="18">
      <t>ヒョウジ</t>
    </rPh>
    <rPh sb="19" eb="21">
      <t>カンスウ</t>
    </rPh>
    <rPh sb="23" eb="25">
      <t>カンスウ</t>
    </rPh>
    <rPh sb="26" eb="28">
      <t>シュウセイ</t>
    </rPh>
    <phoneticPr fontId="2"/>
  </si>
  <si>
    <t>→C列では当初祝日しか判定させていなかったが、就業規則上の休日も判定させ、その場合"休"と表示させるようにした。</t>
    <rPh sb="2" eb="3">
      <t>レツ</t>
    </rPh>
    <rPh sb="5" eb="7">
      <t>トウショ</t>
    </rPh>
    <rPh sb="7" eb="9">
      <t>シュクジツ</t>
    </rPh>
    <rPh sb="11" eb="13">
      <t>ハンテイ</t>
    </rPh>
    <rPh sb="23" eb="25">
      <t>シュウギョウ</t>
    </rPh>
    <rPh sb="25" eb="27">
      <t>キソク</t>
    </rPh>
    <rPh sb="27" eb="28">
      <t>ジョウ</t>
    </rPh>
    <rPh sb="29" eb="31">
      <t>キュウジツ</t>
    </rPh>
    <rPh sb="32" eb="34">
      <t>ハンテイ</t>
    </rPh>
    <rPh sb="39" eb="41">
      <t>バアイ</t>
    </rPh>
    <rPh sb="42" eb="43">
      <t>ヤス</t>
    </rPh>
    <rPh sb="45" eb="47">
      <t>ヒョウジ</t>
    </rPh>
    <phoneticPr fontId="2"/>
  </si>
  <si>
    <t>→尚、OR関数を使っているが、OR関数の引数は30個までであり、ちょうど振替休日のところまでしか引数設定できないため、</t>
    <rPh sb="1" eb="2">
      <t>ナオ</t>
    </rPh>
    <rPh sb="5" eb="7">
      <t>カンスウ</t>
    </rPh>
    <rPh sb="8" eb="9">
      <t>ツカ</t>
    </rPh>
    <rPh sb="17" eb="19">
      <t>カンスウ</t>
    </rPh>
    <rPh sb="20" eb="22">
      <t>ヒキスウ</t>
    </rPh>
    <rPh sb="25" eb="26">
      <t>コ</t>
    </rPh>
    <rPh sb="36" eb="38">
      <t>フリカエ</t>
    </rPh>
    <rPh sb="38" eb="40">
      <t>キュウジツ</t>
    </rPh>
    <rPh sb="48" eb="50">
      <t>ヒキスウ</t>
    </rPh>
    <rPh sb="50" eb="52">
      <t>セッテイ</t>
    </rPh>
    <phoneticPr fontId="2"/>
  </si>
  <si>
    <t>　新たに、IF文を従前のIF文のFALSEの場合の処理に加え、そこで就業規則上の休日の判定、表示をさせることで引数の増加へ対応を図った。</t>
    <rPh sb="1" eb="2">
      <t>アラ</t>
    </rPh>
    <rPh sb="7" eb="8">
      <t>ブン</t>
    </rPh>
    <rPh sb="9" eb="11">
      <t>ジュウゼン</t>
    </rPh>
    <rPh sb="14" eb="15">
      <t>ブン</t>
    </rPh>
    <rPh sb="22" eb="24">
      <t>バアイ</t>
    </rPh>
    <rPh sb="25" eb="27">
      <t>ショリ</t>
    </rPh>
    <rPh sb="28" eb="29">
      <t>クワ</t>
    </rPh>
    <rPh sb="34" eb="36">
      <t>シュウギョウ</t>
    </rPh>
    <rPh sb="36" eb="38">
      <t>キソク</t>
    </rPh>
    <rPh sb="38" eb="39">
      <t>ジョウ</t>
    </rPh>
    <rPh sb="40" eb="42">
      <t>キュウジツ</t>
    </rPh>
    <rPh sb="43" eb="45">
      <t>ハンテイ</t>
    </rPh>
    <rPh sb="46" eb="48">
      <t>ヒョウジ</t>
    </rPh>
    <rPh sb="55" eb="57">
      <t>ヒキスウ</t>
    </rPh>
    <rPh sb="58" eb="60">
      <t>ゾウカ</t>
    </rPh>
    <rPh sb="61" eb="63">
      <t>タイオウ</t>
    </rPh>
    <rPh sb="64" eb="65">
      <t>ハカ</t>
    </rPh>
    <phoneticPr fontId="2"/>
  </si>
  <si>
    <r>
      <t>　IF(A35="","",　</t>
    </r>
    <r>
      <rPr>
        <b/>
        <sz val="11"/>
        <rFont val="ＭＳ Ｐゴシック"/>
        <family val="3"/>
        <charset val="128"/>
      </rPr>
      <t>IF</t>
    </r>
    <r>
      <rPr>
        <sz val="11"/>
        <rFont val="ＭＳ Ｐゴシック"/>
        <family val="3"/>
        <charset val="128"/>
      </rPr>
      <t>(</t>
    </r>
    <r>
      <rPr>
        <b/>
        <sz val="11"/>
        <color indexed="10"/>
        <rFont val="ＭＳ Ｐゴシック"/>
        <family val="3"/>
        <charset val="128"/>
      </rPr>
      <t>OR(A35=$DI$1,A35=$DI$2,A35=$DI$3,A35=$DI$4,A35=$DI$5,A35=$DI$6,A35=$DI$7,A35=$DI$8,A35=$DI$9,A35=$DI$12,A35=$DI$13,A35=$DI$14,</t>
    </r>
    <phoneticPr fontId="2"/>
  </si>
  <si>
    <t>　A35=$DI$15,A35=$DI$18,A35=$DI$19,A35=$DI$20,A35=$DI$21,A35=$DI$22,A35=$DI$23,A35=$DI$25,A35=$DI$26,A35=$DI$27,A35=$DI$28,A35=$DI$29,</t>
    <phoneticPr fontId="2"/>
  </si>
  <si>
    <r>
      <t>　A35=$DI$30,A35=$DI$32,A35=$DI$33,A35=$DI$34,A35=$DI$35,A35=$DI$36),"祝"</t>
    </r>
    <r>
      <rPr>
        <sz val="11"/>
        <rFont val="ＭＳ Ｐゴシック"/>
        <family val="3"/>
        <charset val="128"/>
      </rPr>
      <t>,</t>
    </r>
    <r>
      <rPr>
        <b/>
        <u/>
        <sz val="11"/>
        <color indexed="12"/>
        <rFont val="ＭＳ Ｐゴシック"/>
        <family val="3"/>
        <charset val="128"/>
      </rPr>
      <t>IF</t>
    </r>
    <r>
      <rPr>
        <sz val="11"/>
        <rFont val="ＭＳ Ｐゴシック"/>
        <family val="3"/>
        <charset val="128"/>
      </rPr>
      <t>(</t>
    </r>
    <r>
      <rPr>
        <b/>
        <sz val="11"/>
        <color indexed="14"/>
        <rFont val="ＭＳ Ｐゴシック"/>
        <family val="3"/>
        <charset val="128"/>
      </rPr>
      <t>OR(A35=$DI$38,A35=$DI$39,A35=$DI$40,A35=$DI$41,A35=$DI$42,</t>
    </r>
    <phoneticPr fontId="2"/>
  </si>
  <si>
    <r>
      <t>　A35=$DI$43,A35=$DI$44),"休"</t>
    </r>
    <r>
      <rPr>
        <sz val="11"/>
        <rFont val="ＭＳ Ｐゴシック"/>
        <family val="3"/>
        <charset val="128"/>
      </rPr>
      <t>,"")))</t>
    </r>
    <phoneticPr fontId="2"/>
  </si>
  <si>
    <t>④入力シートDU-DW列（要稼働日数の計算）の修正</t>
    <rPh sb="1" eb="3">
      <t>ニュウリョク</t>
    </rPh>
    <rPh sb="11" eb="12">
      <t>レツ</t>
    </rPh>
    <rPh sb="13" eb="14">
      <t>ヨウ</t>
    </rPh>
    <rPh sb="14" eb="16">
      <t>カドウ</t>
    </rPh>
    <rPh sb="16" eb="18">
      <t>ニッスウ</t>
    </rPh>
    <rPh sb="19" eb="21">
      <t>ケイサン</t>
    </rPh>
    <rPh sb="23" eb="25">
      <t>シュウセイ</t>
    </rPh>
    <phoneticPr fontId="2"/>
  </si>
  <si>
    <t>→DV列の祝日のカウントの関数を、就業規則上の休日もカウントできるように修正。</t>
    <rPh sb="3" eb="4">
      <t>レツ</t>
    </rPh>
    <rPh sb="5" eb="7">
      <t>シュクジツ</t>
    </rPh>
    <rPh sb="13" eb="15">
      <t>カンスウ</t>
    </rPh>
    <rPh sb="17" eb="19">
      <t>シュウギョウ</t>
    </rPh>
    <rPh sb="19" eb="21">
      <t>キソク</t>
    </rPh>
    <rPh sb="21" eb="22">
      <t>ジョウ</t>
    </rPh>
    <rPh sb="23" eb="25">
      <t>キュウジツ</t>
    </rPh>
    <rPh sb="36" eb="38">
      <t>シュウセイ</t>
    </rPh>
    <phoneticPr fontId="2"/>
  </si>
  <si>
    <t>⑤入力シート及び印刷シートの条件付書式を就業規則上の休日に対応させた。</t>
    <rPh sb="1" eb="3">
      <t>ニュウリョク</t>
    </rPh>
    <rPh sb="6" eb="7">
      <t>オヨ</t>
    </rPh>
    <rPh sb="8" eb="10">
      <t>インサツ</t>
    </rPh>
    <rPh sb="14" eb="17">
      <t>ジョウケンツキ</t>
    </rPh>
    <rPh sb="17" eb="19">
      <t>ショシキ</t>
    </rPh>
    <rPh sb="20" eb="22">
      <t>シュウギョウ</t>
    </rPh>
    <rPh sb="22" eb="24">
      <t>キソク</t>
    </rPh>
    <rPh sb="24" eb="25">
      <t>ジョウ</t>
    </rPh>
    <rPh sb="26" eb="28">
      <t>キュウジツ</t>
    </rPh>
    <rPh sb="29" eb="31">
      <t>タイオウ</t>
    </rPh>
    <phoneticPr fontId="2"/>
  </si>
  <si>
    <t>・社員欄にH20/4月入社予定の2名を追加</t>
    <rPh sb="1" eb="3">
      <t>シャイン</t>
    </rPh>
    <rPh sb="3" eb="4">
      <t>ラン</t>
    </rPh>
    <rPh sb="10" eb="11">
      <t>ガツ</t>
    </rPh>
    <rPh sb="11" eb="13">
      <t>ニュウシャ</t>
    </rPh>
    <rPh sb="13" eb="15">
      <t>ヨテイ</t>
    </rPh>
    <rPh sb="17" eb="18">
      <t>メイ</t>
    </rPh>
    <rPh sb="19" eb="21">
      <t>ツイカ</t>
    </rPh>
    <phoneticPr fontId="2"/>
  </si>
  <si>
    <t>Ver.080122残業申請対応版</t>
    <rPh sb="10" eb="12">
      <t>ザンギョウ</t>
    </rPh>
    <rPh sb="12" eb="14">
      <t>シンセイ</t>
    </rPh>
    <rPh sb="14" eb="16">
      <t>タイオウ</t>
    </rPh>
    <rPh sb="16" eb="17">
      <t>バン</t>
    </rPh>
    <phoneticPr fontId="2"/>
  </si>
  <si>
    <t>・印刷シートの40行、労働時間・残業等の合計欄の計算式からCEILING関数を取り外し単なるSUMにした</t>
    <rPh sb="1" eb="3">
      <t>インサツ</t>
    </rPh>
    <rPh sb="9" eb="10">
      <t>ギョウ</t>
    </rPh>
    <rPh sb="11" eb="13">
      <t>ロウドウ</t>
    </rPh>
    <rPh sb="13" eb="15">
      <t>ジカン</t>
    </rPh>
    <rPh sb="16" eb="18">
      <t>ザンギョウ</t>
    </rPh>
    <rPh sb="18" eb="19">
      <t>トウ</t>
    </rPh>
    <rPh sb="20" eb="22">
      <t>ゴウケイ</t>
    </rPh>
    <rPh sb="22" eb="23">
      <t>ラン</t>
    </rPh>
    <rPh sb="24" eb="26">
      <t>ケイサン</t>
    </rPh>
    <rPh sb="26" eb="27">
      <t>シキ</t>
    </rPh>
    <rPh sb="36" eb="38">
      <t>カンスウ</t>
    </rPh>
    <rPh sb="39" eb="40">
      <t>ト</t>
    </rPh>
    <rPh sb="41" eb="42">
      <t>ハズ</t>
    </rPh>
    <rPh sb="43" eb="44">
      <t>タン</t>
    </rPh>
    <phoneticPr fontId="2"/>
  </si>
  <si>
    <t>Ver.080729</t>
    <phoneticPr fontId="2"/>
  </si>
  <si>
    <t>【印刷シートの改定】</t>
    <rPh sb="1" eb="3">
      <t>インサツ</t>
    </rPh>
    <rPh sb="7" eb="9">
      <t>カイテイ</t>
    </rPh>
    <phoneticPr fontId="2"/>
  </si>
  <si>
    <t>（（長崎さんからのリクエストによる修正））</t>
    <rPh sb="2" eb="4">
      <t>ナガサキ</t>
    </rPh>
    <rPh sb="17" eb="19">
      <t>シュウセイ</t>
    </rPh>
    <phoneticPr fontId="2"/>
  </si>
  <si>
    <t>・印刷シートのM列"勤怠"･･･土日祝日、会社の就業規則上の休日に出勤の事実がある場合には、"休出"と表示させるようにした。</t>
    <rPh sb="1" eb="3">
      <t>インサツ</t>
    </rPh>
    <rPh sb="8" eb="9">
      <t>レツ</t>
    </rPh>
    <rPh sb="10" eb="12">
      <t>キンタイ</t>
    </rPh>
    <rPh sb="16" eb="18">
      <t>ドニチ</t>
    </rPh>
    <rPh sb="18" eb="20">
      <t>シュクジツ</t>
    </rPh>
    <rPh sb="21" eb="23">
      <t>カイシャ</t>
    </rPh>
    <rPh sb="24" eb="26">
      <t>シュウギョウ</t>
    </rPh>
    <rPh sb="26" eb="28">
      <t>キソク</t>
    </rPh>
    <rPh sb="28" eb="29">
      <t>ジョウ</t>
    </rPh>
    <rPh sb="30" eb="32">
      <t>キュウジツ</t>
    </rPh>
    <rPh sb="33" eb="35">
      <t>シュッキン</t>
    </rPh>
    <rPh sb="36" eb="38">
      <t>ジジツ</t>
    </rPh>
    <rPh sb="41" eb="43">
      <t>バアイ</t>
    </rPh>
    <rPh sb="47" eb="49">
      <t>キュウシュツ</t>
    </rPh>
    <rPh sb="51" eb="53">
      <t>ヒョウジ</t>
    </rPh>
    <phoneticPr fontId="2"/>
  </si>
  <si>
    <t>（ex.セルM9）</t>
    <phoneticPr fontId="2"/>
  </si>
  <si>
    <t>　従前：IF（入力シート!Q5="","",入力シート!Q5）　･･･入力シート!Q5=勤怠選択欄</t>
    <rPh sb="1" eb="3">
      <t>ジュウゼン</t>
    </rPh>
    <rPh sb="7" eb="9">
      <t>ニュウリョク</t>
    </rPh>
    <rPh sb="22" eb="24">
      <t>ニュウリョク</t>
    </rPh>
    <rPh sb="35" eb="37">
      <t>ニュウリョク</t>
    </rPh>
    <rPh sb="44" eb="46">
      <t>キンタイ</t>
    </rPh>
    <rPh sb="46" eb="48">
      <t>センタク</t>
    </rPh>
    <rPh sb="48" eb="49">
      <t>ラン</t>
    </rPh>
    <phoneticPr fontId="2"/>
  </si>
  <si>
    <t>　　　↓</t>
    <phoneticPr fontId="2"/>
  </si>
  <si>
    <r>
      <t>　修正：</t>
    </r>
    <r>
      <rPr>
        <sz val="11"/>
        <color indexed="10"/>
        <rFont val="ＭＳ Ｐゴシック"/>
        <family val="3"/>
        <charset val="128"/>
      </rPr>
      <t>IF（AND（OR（B9="土",B9="日",C9="祝",C9="休"）,D9&lt;&gt;0）,"休出",</t>
    </r>
    <r>
      <rPr>
        <sz val="11"/>
        <rFont val="ＭＳ Ｐゴシック"/>
        <family val="3"/>
        <charset val="128"/>
      </rPr>
      <t>【IF～以下従前の計算式】</t>
    </r>
    <r>
      <rPr>
        <sz val="11"/>
        <color indexed="10"/>
        <rFont val="ＭＳ Ｐゴシック"/>
        <family val="3"/>
        <charset val="128"/>
      </rPr>
      <t>）</t>
    </r>
    <rPh sb="1" eb="3">
      <t>シュウセイ</t>
    </rPh>
    <rPh sb="18" eb="19">
      <t>ツチ</t>
    </rPh>
    <rPh sb="25" eb="26">
      <t>ヒ</t>
    </rPh>
    <rPh sb="32" eb="33">
      <t>シュク</t>
    </rPh>
    <rPh sb="39" eb="40">
      <t>キュウ</t>
    </rPh>
    <rPh sb="51" eb="53">
      <t>キュウシュツ</t>
    </rPh>
    <rPh sb="59" eb="61">
      <t>イカ</t>
    </rPh>
    <rPh sb="61" eb="63">
      <t>ジュウゼン</t>
    </rPh>
    <rPh sb="64" eb="66">
      <t>ケイサン</t>
    </rPh>
    <rPh sb="66" eb="67">
      <t>シキ</t>
    </rPh>
    <phoneticPr fontId="2"/>
  </si>
  <si>
    <t>⇒入力シートで "休出"の選択漏れが多いため、ちゃんと選択された場合でも選択し忘れた場合でも休出をしている事実を判定し印刷シート上に直接表示させるようにしている。</t>
    <rPh sb="1" eb="3">
      <t>ニュウリョク</t>
    </rPh>
    <rPh sb="9" eb="11">
      <t>キュウシュツ</t>
    </rPh>
    <rPh sb="13" eb="15">
      <t>センタク</t>
    </rPh>
    <rPh sb="15" eb="16">
      <t>モ</t>
    </rPh>
    <rPh sb="18" eb="19">
      <t>オオ</t>
    </rPh>
    <rPh sb="27" eb="29">
      <t>センタク</t>
    </rPh>
    <rPh sb="32" eb="34">
      <t>バアイ</t>
    </rPh>
    <rPh sb="36" eb="38">
      <t>センタク</t>
    </rPh>
    <rPh sb="39" eb="40">
      <t>ワス</t>
    </rPh>
    <rPh sb="42" eb="44">
      <t>バアイ</t>
    </rPh>
    <rPh sb="46" eb="48">
      <t>キュウシュツ</t>
    </rPh>
    <rPh sb="53" eb="55">
      <t>ジジツ</t>
    </rPh>
    <rPh sb="56" eb="58">
      <t>ハンテイ</t>
    </rPh>
    <rPh sb="59" eb="61">
      <t>インサツ</t>
    </rPh>
    <rPh sb="64" eb="65">
      <t>ジョウ</t>
    </rPh>
    <rPh sb="66" eb="67">
      <t>チョク</t>
    </rPh>
    <rPh sb="67" eb="68">
      <t>セツ</t>
    </rPh>
    <rPh sb="68" eb="70">
      <t>ヒョウジ</t>
    </rPh>
    <phoneticPr fontId="2"/>
  </si>
  <si>
    <t>【シート新設】</t>
    <rPh sb="4" eb="6">
      <t>シンセツ</t>
    </rPh>
    <phoneticPr fontId="2"/>
  </si>
  <si>
    <r>
      <t>・"交通費請求明細書"の様式を改め</t>
    </r>
    <r>
      <rPr>
        <sz val="11"/>
        <rFont val="ＭＳ Ｐゴシック"/>
        <family val="3"/>
        <charset val="128"/>
      </rPr>
      <t>"</t>
    </r>
    <r>
      <rPr>
        <sz val="11"/>
        <rFont val="ＭＳ Ｐゴシック"/>
        <family val="3"/>
        <charset val="128"/>
      </rPr>
      <t>立替旅費等精算申請書</t>
    </r>
    <r>
      <rPr>
        <sz val="11"/>
        <rFont val="ＭＳ Ｐゴシック"/>
        <family val="3"/>
        <charset val="128"/>
      </rPr>
      <t>"とした。</t>
    </r>
    <rPh sb="2" eb="5">
      <t>コウツウヒ</t>
    </rPh>
    <rPh sb="5" eb="7">
      <t>セイキュウ</t>
    </rPh>
    <rPh sb="7" eb="10">
      <t>メイサイショ</t>
    </rPh>
    <rPh sb="12" eb="14">
      <t>ヨウシキ</t>
    </rPh>
    <rPh sb="15" eb="16">
      <t>アラタ</t>
    </rPh>
    <rPh sb="23" eb="25">
      <t>セイサン</t>
    </rPh>
    <rPh sb="25" eb="27">
      <t>シンセイ</t>
    </rPh>
    <phoneticPr fontId="2"/>
  </si>
  <si>
    <t>・"定期代申請書"の内容を改め、"定期代等支給申請書"とし個人契約駐車場代の支給申請も同一シートで行うようにした。</t>
    <rPh sb="2" eb="4">
      <t>テイキ</t>
    </rPh>
    <rPh sb="4" eb="5">
      <t>ダイ</t>
    </rPh>
    <rPh sb="5" eb="8">
      <t>シンセイショ</t>
    </rPh>
    <rPh sb="10" eb="12">
      <t>ナイヨウ</t>
    </rPh>
    <rPh sb="13" eb="14">
      <t>アラタ</t>
    </rPh>
    <rPh sb="17" eb="20">
      <t>テイキダイ</t>
    </rPh>
    <rPh sb="20" eb="21">
      <t>トウ</t>
    </rPh>
    <rPh sb="21" eb="23">
      <t>シキュウ</t>
    </rPh>
    <rPh sb="23" eb="25">
      <t>シンセイ</t>
    </rPh>
    <rPh sb="25" eb="26">
      <t>ショ</t>
    </rPh>
    <rPh sb="29" eb="31">
      <t>コジン</t>
    </rPh>
    <rPh sb="31" eb="33">
      <t>ケイヤク</t>
    </rPh>
    <rPh sb="33" eb="37">
      <t>チュウ</t>
    </rPh>
    <rPh sb="38" eb="40">
      <t>シキュウ</t>
    </rPh>
    <rPh sb="40" eb="42">
      <t>シンセイ</t>
    </rPh>
    <rPh sb="43" eb="45">
      <t>ドウイツ</t>
    </rPh>
    <rPh sb="49" eb="50">
      <t>オコナ</t>
    </rPh>
    <phoneticPr fontId="2"/>
  </si>
  <si>
    <t>【入力シートの改定】</t>
    <rPh sb="1" eb="3">
      <t>ニュウリョク</t>
    </rPh>
    <rPh sb="7" eb="9">
      <t>カイテイ</t>
    </rPh>
    <phoneticPr fontId="2"/>
  </si>
  <si>
    <t>・"付記（総務への連絡事項等）"欄で遅早の理由等総務への連絡事項を一括して入力させていたのを、印刷シートの各日毎に入力するようにし</t>
    <rPh sb="2" eb="4">
      <t>フキ</t>
    </rPh>
    <rPh sb="5" eb="7">
      <t>ソウム</t>
    </rPh>
    <rPh sb="9" eb="11">
      <t>レンラク</t>
    </rPh>
    <rPh sb="11" eb="13">
      <t>ジコウ</t>
    </rPh>
    <rPh sb="13" eb="14">
      <t>トウ</t>
    </rPh>
    <rPh sb="16" eb="17">
      <t>ラン</t>
    </rPh>
    <rPh sb="18" eb="20">
      <t>チソウ</t>
    </rPh>
    <rPh sb="21" eb="24">
      <t>リユウトウ</t>
    </rPh>
    <rPh sb="24" eb="26">
      <t>ソウム</t>
    </rPh>
    <rPh sb="28" eb="30">
      <t>レンラク</t>
    </rPh>
    <rPh sb="30" eb="32">
      <t>ジコウ</t>
    </rPh>
    <rPh sb="33" eb="35">
      <t>イッカツ</t>
    </rPh>
    <rPh sb="37" eb="39">
      <t>ニュウリョク</t>
    </rPh>
    <rPh sb="47" eb="49">
      <t>インサツ</t>
    </rPh>
    <rPh sb="53" eb="54">
      <t>カク</t>
    </rPh>
    <rPh sb="54" eb="55">
      <t>ヒ</t>
    </rPh>
    <rPh sb="55" eb="56">
      <t>ゴト</t>
    </rPh>
    <rPh sb="57" eb="59">
      <t>ニュウリョク</t>
    </rPh>
    <phoneticPr fontId="2"/>
  </si>
  <si>
    <t>　印刷シートの空いた部分へ、次月度の稼働時間予測及び実績との差異原因への言及をさせるようにした。</t>
    <rPh sb="1" eb="3">
      <t>インサツ</t>
    </rPh>
    <rPh sb="7" eb="8">
      <t>ア</t>
    </rPh>
    <rPh sb="10" eb="12">
      <t>ブブン</t>
    </rPh>
    <rPh sb="14" eb="16">
      <t>ジゲツ</t>
    </rPh>
    <rPh sb="16" eb="17">
      <t>ド</t>
    </rPh>
    <rPh sb="18" eb="20">
      <t>カドウ</t>
    </rPh>
    <rPh sb="20" eb="22">
      <t>ジカン</t>
    </rPh>
    <rPh sb="22" eb="24">
      <t>ヨソク</t>
    </rPh>
    <rPh sb="24" eb="25">
      <t>オヨ</t>
    </rPh>
    <rPh sb="26" eb="28">
      <t>ジッセキ</t>
    </rPh>
    <rPh sb="30" eb="32">
      <t>サイ</t>
    </rPh>
    <rPh sb="32" eb="34">
      <t>ゲンイン</t>
    </rPh>
    <rPh sb="36" eb="38">
      <t>ゲンキュウ</t>
    </rPh>
    <phoneticPr fontId="2"/>
  </si>
  <si>
    <t>・次月において稼働時間の見込み値と実績値との再分析を行うため、見込み値と実績値を"見込-実績 集計"シートへ記録を残せるようマクロを組んだ。</t>
    <rPh sb="1" eb="3">
      <t>ジゲツ</t>
    </rPh>
    <rPh sb="7" eb="9">
      <t>カドウ</t>
    </rPh>
    <rPh sb="9" eb="11">
      <t>ジカン</t>
    </rPh>
    <rPh sb="12" eb="14">
      <t>ミコ</t>
    </rPh>
    <rPh sb="15" eb="16">
      <t>チ</t>
    </rPh>
    <rPh sb="17" eb="19">
      <t>ジッセキ</t>
    </rPh>
    <rPh sb="19" eb="20">
      <t>チ</t>
    </rPh>
    <rPh sb="22" eb="25">
      <t>サイブンセキ</t>
    </rPh>
    <rPh sb="26" eb="27">
      <t>オコナ</t>
    </rPh>
    <rPh sb="31" eb="33">
      <t>ミコ</t>
    </rPh>
    <rPh sb="34" eb="35">
      <t>チ</t>
    </rPh>
    <rPh sb="36" eb="38">
      <t>ジッセキ</t>
    </rPh>
    <rPh sb="38" eb="39">
      <t>チ</t>
    </rPh>
    <rPh sb="41" eb="43">
      <t>ミコ</t>
    </rPh>
    <rPh sb="44" eb="46">
      <t>ジッセキ</t>
    </rPh>
    <rPh sb="47" eb="49">
      <t>シュウケイ</t>
    </rPh>
    <rPh sb="54" eb="56">
      <t>キロク</t>
    </rPh>
    <rPh sb="57" eb="58">
      <t>ノコ</t>
    </rPh>
    <rPh sb="66" eb="67">
      <t>ク</t>
    </rPh>
    <phoneticPr fontId="2"/>
  </si>
  <si>
    <t>・氏名選択をリストから行うのではなく、直接各々入力するようにした</t>
    <rPh sb="1" eb="3">
      <t>シメイ</t>
    </rPh>
    <rPh sb="3" eb="5">
      <t>センタク</t>
    </rPh>
    <rPh sb="11" eb="12">
      <t>オコナ</t>
    </rPh>
    <rPh sb="19" eb="20">
      <t>チョク</t>
    </rPh>
    <rPh sb="20" eb="21">
      <t>セツ</t>
    </rPh>
    <rPh sb="21" eb="23">
      <t>オノオノ</t>
    </rPh>
    <rPh sb="23" eb="25">
      <t>ニュウリョク</t>
    </rPh>
    <phoneticPr fontId="2"/>
  </si>
  <si>
    <t>・作業フェーズ入力欄の修正</t>
    <rPh sb="1" eb="3">
      <t>サギョウ</t>
    </rPh>
    <rPh sb="7" eb="9">
      <t>ニュウリョク</t>
    </rPh>
    <rPh sb="9" eb="10">
      <t>ラン</t>
    </rPh>
    <rPh sb="11" eb="13">
      <t>シュウセイ</t>
    </rPh>
    <phoneticPr fontId="2"/>
  </si>
  <si>
    <t>　従前：大中小の３区分</t>
    <rPh sb="1" eb="3">
      <t>ジュウゼン</t>
    </rPh>
    <rPh sb="4" eb="7">
      <t>ダイチュウショウ</t>
    </rPh>
    <rPh sb="9" eb="11">
      <t>クブン</t>
    </rPh>
    <phoneticPr fontId="2"/>
  </si>
  <si>
    <t>　修正：単一区分　⇒　設計・製造・評価・保守・教育・JCD内勤・その他　より選択</t>
    <rPh sb="1" eb="3">
      <t>シュウセイ</t>
    </rPh>
    <rPh sb="4" eb="6">
      <t>タンイツ</t>
    </rPh>
    <rPh sb="6" eb="8">
      <t>クブン</t>
    </rPh>
    <rPh sb="11" eb="13">
      <t>セッケイ</t>
    </rPh>
    <rPh sb="14" eb="16">
      <t>セイゾウ</t>
    </rPh>
    <rPh sb="17" eb="19">
      <t>ヒョウカ</t>
    </rPh>
    <rPh sb="20" eb="22">
      <t>ホシュ</t>
    </rPh>
    <rPh sb="23" eb="25">
      <t>キョウイク</t>
    </rPh>
    <rPh sb="29" eb="31">
      <t>ナイキン</t>
    </rPh>
    <rPh sb="34" eb="35">
      <t>タ</t>
    </rPh>
    <rPh sb="38" eb="40">
      <t>センタク</t>
    </rPh>
    <phoneticPr fontId="2"/>
  </si>
  <si>
    <t>・R列　"残業・休出申請判定（別紙提出）"の削除</t>
    <rPh sb="2" eb="3">
      <t>レツ</t>
    </rPh>
    <rPh sb="5" eb="7">
      <t>ザンギョウ</t>
    </rPh>
    <rPh sb="8" eb="10">
      <t>キュウシュツ</t>
    </rPh>
    <rPh sb="10" eb="12">
      <t>シンセイ</t>
    </rPh>
    <rPh sb="12" eb="14">
      <t>ハンテイ</t>
    </rPh>
    <rPh sb="15" eb="17">
      <t>ベッシ</t>
    </rPh>
    <rPh sb="17" eb="19">
      <t>テイシュツ</t>
    </rPh>
    <rPh sb="22" eb="24">
      <t>サクジョ</t>
    </rPh>
    <phoneticPr fontId="2"/>
  </si>
  <si>
    <t>・41条該当者に"部長代理"と"ＭＧ"を追加し、関係する計算式を修正（ＭＧは福井さん対策）</t>
    <rPh sb="3" eb="4">
      <t>ジョウ</t>
    </rPh>
    <rPh sb="4" eb="7">
      <t>ガイトウシャ</t>
    </rPh>
    <rPh sb="9" eb="11">
      <t>ブチョウ</t>
    </rPh>
    <rPh sb="11" eb="13">
      <t>ダイリ</t>
    </rPh>
    <rPh sb="20" eb="22">
      <t>ツイカ</t>
    </rPh>
    <rPh sb="24" eb="26">
      <t>カンケイ</t>
    </rPh>
    <rPh sb="28" eb="30">
      <t>ケイサン</t>
    </rPh>
    <rPh sb="30" eb="31">
      <t>シキ</t>
    </rPh>
    <rPh sb="32" eb="34">
      <t>シュウセイ</t>
    </rPh>
    <rPh sb="38" eb="40">
      <t>フクイ</t>
    </rPh>
    <rPh sb="42" eb="44">
      <t>タイサク</t>
    </rPh>
    <phoneticPr fontId="2"/>
  </si>
  <si>
    <t>・定例会出席日については実働時間を8：00と計算するように修正</t>
    <rPh sb="1" eb="4">
      <t>テイレイカイ</t>
    </rPh>
    <rPh sb="4" eb="6">
      <t>シュッセキ</t>
    </rPh>
    <rPh sb="6" eb="7">
      <t>ビ</t>
    </rPh>
    <rPh sb="12" eb="14">
      <t>ジツドウ</t>
    </rPh>
    <rPh sb="14" eb="16">
      <t>ジカン</t>
    </rPh>
    <rPh sb="22" eb="24">
      <t>ケイサン</t>
    </rPh>
    <rPh sb="29" eb="31">
      <t>シュウセイ</t>
    </rPh>
    <phoneticPr fontId="2"/>
  </si>
  <si>
    <t>　→Q列"勤怠報告"欄で"定例会出席"を選択した場合には、遅刻をしていないならばJ列の実働時間欄に8：00と表示させるようにした。</t>
    <rPh sb="3" eb="4">
      <t>レツ</t>
    </rPh>
    <rPh sb="5" eb="7">
      <t>キンタイ</t>
    </rPh>
    <rPh sb="7" eb="9">
      <t>ホウコク</t>
    </rPh>
    <rPh sb="10" eb="11">
      <t>ラン</t>
    </rPh>
    <rPh sb="13" eb="16">
      <t>テイレイカイ</t>
    </rPh>
    <rPh sb="16" eb="18">
      <t>シュッセキ</t>
    </rPh>
    <rPh sb="20" eb="22">
      <t>センタク</t>
    </rPh>
    <rPh sb="24" eb="26">
      <t>バアイ</t>
    </rPh>
    <rPh sb="29" eb="31">
      <t>チコク</t>
    </rPh>
    <rPh sb="41" eb="42">
      <t>レツ</t>
    </rPh>
    <rPh sb="43" eb="45">
      <t>ジツドウ</t>
    </rPh>
    <rPh sb="45" eb="47">
      <t>ジカン</t>
    </rPh>
    <rPh sb="47" eb="48">
      <t>ラン</t>
    </rPh>
    <rPh sb="54" eb="56">
      <t>ヒョウジ</t>
    </rPh>
    <phoneticPr fontId="2"/>
  </si>
  <si>
    <t>　　（ex.セルJ5）</t>
    <phoneticPr fontId="2"/>
  </si>
  <si>
    <r>
      <t>　　</t>
    </r>
    <r>
      <rPr>
        <b/>
        <sz val="11"/>
        <rFont val="ＭＳ Ｐゴシック"/>
        <family val="3"/>
        <charset val="128"/>
      </rPr>
      <t>従前：　</t>
    </r>
    <r>
      <rPr>
        <sz val="11"/>
        <rFont val="ＭＳ Ｐゴシック"/>
        <family val="3"/>
        <charset val="128"/>
      </rPr>
      <t>=</t>
    </r>
    <r>
      <rPr>
        <sz val="11"/>
        <rFont val="ＭＳ Ｐゴシック"/>
        <family val="3"/>
        <charset val="128"/>
      </rPr>
      <t>FLOOR((H5-I5),"0:15")</t>
    </r>
    <rPh sb="2" eb="4">
      <t>ジュウゼン</t>
    </rPh>
    <phoneticPr fontId="2"/>
  </si>
  <si>
    <r>
      <t>　　</t>
    </r>
    <r>
      <rPr>
        <b/>
        <sz val="11"/>
        <rFont val="ＭＳ Ｐゴシック"/>
        <family val="3"/>
        <charset val="128"/>
      </rPr>
      <t>修正：　</t>
    </r>
    <r>
      <rPr>
        <sz val="11"/>
        <rFont val="ＭＳ Ｐゴシック"/>
        <family val="3"/>
        <charset val="128"/>
      </rPr>
      <t>=</t>
    </r>
    <r>
      <rPr>
        <sz val="11"/>
        <color indexed="12"/>
        <rFont val="ＭＳ Ｐゴシック"/>
        <family val="3"/>
        <charset val="128"/>
      </rPr>
      <t>IF（AND（$F$2&gt;=E5,Q5="定例会出席"）,TIME（8,0,0)　</t>
    </r>
    <r>
      <rPr>
        <sz val="11"/>
        <rFont val="ＭＳ Ｐゴシック"/>
        <family val="3"/>
        <charset val="128"/>
      </rPr>
      <t>,</t>
    </r>
    <r>
      <rPr>
        <sz val="11"/>
        <rFont val="ＭＳ Ｐゴシック"/>
        <family val="3"/>
        <charset val="128"/>
      </rPr>
      <t>FLOOR((H5-I5),"0:15")　</t>
    </r>
    <r>
      <rPr>
        <sz val="11"/>
        <color indexed="12"/>
        <rFont val="ＭＳ Ｐゴシック"/>
        <family val="3"/>
        <charset val="128"/>
      </rPr>
      <t>）</t>
    </r>
    <rPh sb="2" eb="4">
      <t>シュウセイ</t>
    </rPh>
    <rPh sb="27" eb="30">
      <t>テイレイカイ</t>
    </rPh>
    <rPh sb="30" eb="32">
      <t>シュッセキ</t>
    </rPh>
    <phoneticPr fontId="2"/>
  </si>
  <si>
    <r>
      <t>K列　遅早時間作業セル</t>
    </r>
    <r>
      <rPr>
        <sz val="11"/>
        <rFont val="ＭＳ Ｐゴシック"/>
        <family val="3"/>
        <charset val="128"/>
      </rPr>
      <t>（ex.セルK5）</t>
    </r>
    <rPh sb="1" eb="2">
      <t>レツ</t>
    </rPh>
    <rPh sb="3" eb="5">
      <t>チソウ</t>
    </rPh>
    <rPh sb="5" eb="7">
      <t>ジカン</t>
    </rPh>
    <rPh sb="7" eb="9">
      <t>サギョウ</t>
    </rPh>
    <phoneticPr fontId="2"/>
  </si>
  <si>
    <t>　　従前：</t>
    <rPh sb="2" eb="4">
      <t>ジュウゼン</t>
    </rPh>
    <phoneticPr fontId="2"/>
  </si>
  <si>
    <t>　　　　=IF($D$2="岩田好世",$E$2-J5,IF($N$2="常用雇用",IF($E$2&gt;J5,TIME(8,0,0)-J5,0),IF($N$2="パート",$E$2-J5,0)))</t>
    <phoneticPr fontId="2"/>
  </si>
  <si>
    <t>　　　　　　↓解りやすく分解すると･･</t>
    <rPh sb="7" eb="8">
      <t>ワカ</t>
    </rPh>
    <rPh sb="12" eb="14">
      <t>ブンカイ</t>
    </rPh>
    <phoneticPr fontId="2"/>
  </si>
  <si>
    <r>
      <t>　　　　=</t>
    </r>
    <r>
      <rPr>
        <sz val="11"/>
        <color indexed="12"/>
        <rFont val="ＭＳ Ｐゴシック"/>
        <family val="3"/>
        <charset val="128"/>
      </rPr>
      <t>氏名が"岩田好世"である　－T→　所定労働時間－実働時間</t>
    </r>
    <rPh sb="5" eb="7">
      <t>シメイ</t>
    </rPh>
    <rPh sb="9" eb="11">
      <t>イワタ</t>
    </rPh>
    <rPh sb="11" eb="13">
      <t>ヨシヨ</t>
    </rPh>
    <rPh sb="22" eb="24">
      <t>ショテイ</t>
    </rPh>
    <rPh sb="24" eb="26">
      <t>ロウドウ</t>
    </rPh>
    <rPh sb="26" eb="28">
      <t>ジカン</t>
    </rPh>
    <rPh sb="29" eb="31">
      <t>ジツドウ</t>
    </rPh>
    <rPh sb="31" eb="33">
      <t>ジカン</t>
    </rPh>
    <phoneticPr fontId="2"/>
  </si>
  <si>
    <t>　　　　　　　　　　　　　　　　　　　　　　－F→　"常用雇用"である　－T→　所定労働時間＞実働時間　である　－T→　８時間－実働時間</t>
    <rPh sb="27" eb="29">
      <t>ジョウヨウ</t>
    </rPh>
    <rPh sb="29" eb="31">
      <t>コヨウ</t>
    </rPh>
    <rPh sb="40" eb="42">
      <t>ショテイ</t>
    </rPh>
    <rPh sb="42" eb="44">
      <t>ロウドウ</t>
    </rPh>
    <rPh sb="44" eb="46">
      <t>ジカン</t>
    </rPh>
    <rPh sb="47" eb="49">
      <t>ジツドウ</t>
    </rPh>
    <rPh sb="49" eb="51">
      <t>ジカン</t>
    </rPh>
    <rPh sb="61" eb="63">
      <t>ジカン</t>
    </rPh>
    <rPh sb="64" eb="66">
      <t>ジツドウ</t>
    </rPh>
    <rPh sb="66" eb="68">
      <t>ジカン</t>
    </rPh>
    <phoneticPr fontId="2"/>
  </si>
  <si>
    <t>　　　　　　　　　　　　　　　　　　　　　　　　　　　　　　　　　　　　　　　　　　　　　　　　　　　　　　　　　　　　　　　　　　　－F→　0</t>
    <phoneticPr fontId="2"/>
  </si>
  <si>
    <r>
      <t>　　　　　　　　　　　　　　　　　　　　　　　　　　　　　　　　　　　　　　　－F→　</t>
    </r>
    <r>
      <rPr>
        <sz val="11"/>
        <color indexed="12"/>
        <rFont val="ＭＳ Ｐゴシック"/>
        <family val="3"/>
        <charset val="128"/>
      </rPr>
      <t>"パート"である　－T→　所定労働時間－実働時間</t>
    </r>
    <rPh sb="56" eb="58">
      <t>ショテイ</t>
    </rPh>
    <rPh sb="58" eb="60">
      <t>ロウドウ</t>
    </rPh>
    <rPh sb="60" eb="62">
      <t>ジカン</t>
    </rPh>
    <rPh sb="63" eb="65">
      <t>ジツドウ</t>
    </rPh>
    <rPh sb="65" eb="67">
      <t>ジカン</t>
    </rPh>
    <phoneticPr fontId="2"/>
  </si>
  <si>
    <t>　　　　　　　　　　　　　　　　　　　　　　　　　　　　　　　　　　　　　　　　　　　　　　　　　　　　　　－F→　0</t>
    <phoneticPr fontId="2"/>
  </si>
  <si>
    <t>従前の式では、岩田さんは戻り値が負、ゼロ、正と３パターンあり得る。そして、岩田さん以外の者については、常用雇用の場合には</t>
    <rPh sb="0" eb="2">
      <t>ジュウゼン</t>
    </rPh>
    <rPh sb="3" eb="4">
      <t>シキ</t>
    </rPh>
    <rPh sb="7" eb="9">
      <t>イワタ</t>
    </rPh>
    <rPh sb="12" eb="13">
      <t>モド</t>
    </rPh>
    <rPh sb="14" eb="15">
      <t>チ</t>
    </rPh>
    <rPh sb="16" eb="17">
      <t>フ</t>
    </rPh>
    <rPh sb="21" eb="22">
      <t>セイ</t>
    </rPh>
    <rPh sb="30" eb="31">
      <t>ウ</t>
    </rPh>
    <rPh sb="37" eb="39">
      <t>イワタ</t>
    </rPh>
    <rPh sb="41" eb="43">
      <t>イガイ</t>
    </rPh>
    <rPh sb="44" eb="45">
      <t>モノ</t>
    </rPh>
    <rPh sb="51" eb="53">
      <t>ジョウヨウ</t>
    </rPh>
    <rPh sb="53" eb="55">
      <t>コヨウ</t>
    </rPh>
    <rPh sb="56" eb="58">
      <t>バアイ</t>
    </rPh>
    <phoneticPr fontId="2"/>
  </si>
  <si>
    <t>正（遅早している）またはゼロ（労働時間は所定クリア。但し遅早の有無までは判定できず）となり、パートの場合には岩田さん同様</t>
    <rPh sb="0" eb="1">
      <t>セイ</t>
    </rPh>
    <rPh sb="2" eb="4">
      <t>チソウ</t>
    </rPh>
    <rPh sb="15" eb="17">
      <t>ロウドウ</t>
    </rPh>
    <rPh sb="17" eb="19">
      <t>ジカン</t>
    </rPh>
    <rPh sb="20" eb="22">
      <t>ショテイ</t>
    </rPh>
    <rPh sb="26" eb="27">
      <t>タダ</t>
    </rPh>
    <rPh sb="28" eb="30">
      <t>チソウ</t>
    </rPh>
    <rPh sb="31" eb="33">
      <t>ウム</t>
    </rPh>
    <rPh sb="36" eb="38">
      <t>ハンテイ</t>
    </rPh>
    <rPh sb="50" eb="52">
      <t>バアイ</t>
    </rPh>
    <rPh sb="54" eb="56">
      <t>イワタ</t>
    </rPh>
    <rPh sb="58" eb="60">
      <t>ドウヨウ</t>
    </rPh>
    <phoneticPr fontId="2"/>
  </si>
  <si>
    <t>負、ゼロ、正と３パターンあり得る。</t>
    <rPh sb="0" eb="1">
      <t>フ</t>
    </rPh>
    <rPh sb="5" eb="6">
      <t>セイ</t>
    </rPh>
    <rPh sb="14" eb="15">
      <t>ウ</t>
    </rPh>
    <phoneticPr fontId="2"/>
  </si>
  <si>
    <t>岩田さんの場合とパートの場合の戻り値について、負の場合には労働時間は所定クリア、但し遅早の有無までは判断できず。</t>
    <rPh sb="0" eb="2">
      <t>イワタ</t>
    </rPh>
    <rPh sb="5" eb="7">
      <t>バアイ</t>
    </rPh>
    <rPh sb="12" eb="14">
      <t>バアイ</t>
    </rPh>
    <rPh sb="15" eb="16">
      <t>モド</t>
    </rPh>
    <rPh sb="17" eb="18">
      <t>チ</t>
    </rPh>
    <rPh sb="23" eb="24">
      <t>フ</t>
    </rPh>
    <rPh sb="25" eb="27">
      <t>バアイ</t>
    </rPh>
    <rPh sb="29" eb="31">
      <t>ロウドウ</t>
    </rPh>
    <rPh sb="31" eb="33">
      <t>ジカン</t>
    </rPh>
    <rPh sb="34" eb="36">
      <t>ショテイ</t>
    </rPh>
    <rPh sb="40" eb="41">
      <t>タダ</t>
    </rPh>
    <rPh sb="42" eb="44">
      <t>チソウ</t>
    </rPh>
    <rPh sb="45" eb="47">
      <t>ウム</t>
    </rPh>
    <rPh sb="50" eb="52">
      <t>ハンダン</t>
    </rPh>
    <phoneticPr fontId="2"/>
  </si>
  <si>
    <t>そしてゼロの場合には労働時間は所定と一致、但しやはり遅早の有無までは判断できず。</t>
    <rPh sb="6" eb="8">
      <t>バアイ</t>
    </rPh>
    <rPh sb="10" eb="12">
      <t>ロウドウ</t>
    </rPh>
    <rPh sb="12" eb="14">
      <t>ジカン</t>
    </rPh>
    <rPh sb="15" eb="17">
      <t>ショテイ</t>
    </rPh>
    <rPh sb="18" eb="20">
      <t>イッチ</t>
    </rPh>
    <rPh sb="21" eb="22">
      <t>タダ</t>
    </rPh>
    <rPh sb="26" eb="28">
      <t>チソウ</t>
    </rPh>
    <rPh sb="29" eb="31">
      <t>ウム</t>
    </rPh>
    <rPh sb="34" eb="36">
      <t>ハンダン</t>
    </rPh>
    <phoneticPr fontId="2"/>
  </si>
  <si>
    <t>正の場合には遅早している。</t>
    <rPh sb="0" eb="1">
      <t>セイ</t>
    </rPh>
    <rPh sb="2" eb="4">
      <t>バアイ</t>
    </rPh>
    <rPh sb="6" eb="8">
      <t>チソウ</t>
    </rPh>
    <phoneticPr fontId="2"/>
  </si>
  <si>
    <t>→岩田さんとパートと計算内容が同じであること、戻り値が負の場合とゼロの場合とその示す内容が同じであること。これらより</t>
    <rPh sb="1" eb="3">
      <t>イワタ</t>
    </rPh>
    <rPh sb="10" eb="12">
      <t>ケイサン</t>
    </rPh>
    <rPh sb="12" eb="14">
      <t>ナイヨウ</t>
    </rPh>
    <rPh sb="15" eb="16">
      <t>オナ</t>
    </rPh>
    <rPh sb="23" eb="24">
      <t>モド</t>
    </rPh>
    <rPh sb="25" eb="26">
      <t>チ</t>
    </rPh>
    <rPh sb="27" eb="28">
      <t>フ</t>
    </rPh>
    <rPh sb="29" eb="31">
      <t>バアイ</t>
    </rPh>
    <rPh sb="35" eb="37">
      <t>バアイ</t>
    </rPh>
    <rPh sb="40" eb="41">
      <t>シメ</t>
    </rPh>
    <rPh sb="42" eb="44">
      <t>ナイヨウ</t>
    </rPh>
    <rPh sb="45" eb="46">
      <t>オナ</t>
    </rPh>
    <phoneticPr fontId="2"/>
  </si>
  <si>
    <t>　もっとシンプルな計算式に直すことに。</t>
    <rPh sb="9" eb="11">
      <t>ケイサン</t>
    </rPh>
    <rPh sb="11" eb="12">
      <t>シキ</t>
    </rPh>
    <rPh sb="13" eb="14">
      <t>ナオ</t>
    </rPh>
    <phoneticPr fontId="2"/>
  </si>
  <si>
    <t>【岩田さんは実質"常用雇用"だが所定が8ｈでないという意味で"パート"を選択することを前提に計算式の修正を試みる】</t>
    <rPh sb="1" eb="3">
      <t>イワタ</t>
    </rPh>
    <rPh sb="6" eb="8">
      <t>ジッシツ</t>
    </rPh>
    <rPh sb="9" eb="11">
      <t>ジョウヨウ</t>
    </rPh>
    <rPh sb="11" eb="13">
      <t>コヨウ</t>
    </rPh>
    <rPh sb="16" eb="18">
      <t>ショテイ</t>
    </rPh>
    <rPh sb="27" eb="29">
      <t>イミ</t>
    </rPh>
    <rPh sb="36" eb="38">
      <t>センタク</t>
    </rPh>
    <rPh sb="43" eb="45">
      <t>ゼンテイ</t>
    </rPh>
    <rPh sb="46" eb="48">
      <t>ケイサン</t>
    </rPh>
    <rPh sb="48" eb="49">
      <t>シキ</t>
    </rPh>
    <rPh sb="50" eb="52">
      <t>シュウセイ</t>
    </rPh>
    <rPh sb="53" eb="54">
      <t>ココロ</t>
    </rPh>
    <phoneticPr fontId="2"/>
  </si>
  <si>
    <t>　　修正：</t>
    <rPh sb="2" eb="4">
      <t>シュウセイ</t>
    </rPh>
    <phoneticPr fontId="2"/>
  </si>
  <si>
    <t xml:space="preserve"> 　　　 =IF($N$2="常用雇用",IF($E$2&gt;J5,TIME(8,0,0)-J5,0),IF($N$2="パート",IF($E$2&gt;J5,$E$2-J5,0),0))</t>
    <phoneticPr fontId="2"/>
  </si>
  <si>
    <r>
      <t>　　　　="常用雇用"である　－T→　所定労働時間＞実働時間　である　－T</t>
    </r>
    <r>
      <rPr>
        <sz val="11"/>
        <color indexed="12"/>
        <rFont val="ＭＳ Ｐゴシック"/>
        <family val="3"/>
        <charset val="128"/>
      </rPr>
      <t>（遅早している）　</t>
    </r>
    <r>
      <rPr>
        <sz val="11"/>
        <rFont val="ＭＳ Ｐゴシック"/>
        <family val="3"/>
        <charset val="128"/>
      </rPr>
      <t>→　８時間－実働時間　</t>
    </r>
    <r>
      <rPr>
        <sz val="11"/>
        <color indexed="12"/>
        <rFont val="ＭＳ Ｐゴシック"/>
        <family val="3"/>
        <charset val="128"/>
      </rPr>
      <t>（必ず正）</t>
    </r>
    <rPh sb="6" eb="8">
      <t>ジョウヨウ</t>
    </rPh>
    <rPh sb="8" eb="10">
      <t>コヨウ</t>
    </rPh>
    <rPh sb="19" eb="21">
      <t>ショテイ</t>
    </rPh>
    <rPh sb="21" eb="23">
      <t>ロウドウ</t>
    </rPh>
    <rPh sb="23" eb="25">
      <t>ジカン</t>
    </rPh>
    <rPh sb="26" eb="28">
      <t>ジツドウ</t>
    </rPh>
    <rPh sb="28" eb="30">
      <t>ジカン</t>
    </rPh>
    <rPh sb="38" eb="40">
      <t>チソウ</t>
    </rPh>
    <rPh sb="49" eb="51">
      <t>ジカン</t>
    </rPh>
    <rPh sb="52" eb="54">
      <t>ジツドウ</t>
    </rPh>
    <rPh sb="54" eb="56">
      <t>ジカン</t>
    </rPh>
    <rPh sb="58" eb="59">
      <t>カナラ</t>
    </rPh>
    <rPh sb="60" eb="61">
      <t>セイ</t>
    </rPh>
    <phoneticPr fontId="2"/>
  </si>
  <si>
    <r>
      <t>　　　　　　　　　　　　　　　　　　　　　　　　　　　　　　　　　　　　　　　　　　　　　－T</t>
    </r>
    <r>
      <rPr>
        <sz val="11"/>
        <color indexed="12"/>
        <rFont val="ＭＳ Ｐゴシック"/>
        <family val="3"/>
        <charset val="128"/>
      </rPr>
      <t>（所定労働時間以上の実働時間は確保されている）　</t>
    </r>
    <r>
      <rPr>
        <sz val="11"/>
        <rFont val="ＭＳ Ｐゴシック"/>
        <family val="3"/>
        <charset val="128"/>
      </rPr>
      <t>→　ゼロ</t>
    </r>
    <rPh sb="48" eb="50">
      <t>ショテイ</t>
    </rPh>
    <rPh sb="50" eb="52">
      <t>ロウドウ</t>
    </rPh>
    <rPh sb="52" eb="54">
      <t>ジカン</t>
    </rPh>
    <rPh sb="54" eb="56">
      <t>イジョウ</t>
    </rPh>
    <rPh sb="57" eb="59">
      <t>ジツドウ</t>
    </rPh>
    <rPh sb="59" eb="61">
      <t>ジカン</t>
    </rPh>
    <rPh sb="62" eb="64">
      <t>カクホ</t>
    </rPh>
    <phoneticPr fontId="2"/>
  </si>
  <si>
    <r>
      <t>　　　　　　　　　　　　　　　　　－F→　"パート"である　－T→　所定労働時間＞実働時間　である　－T</t>
    </r>
    <r>
      <rPr>
        <sz val="11"/>
        <color indexed="12"/>
        <rFont val="ＭＳ Ｐゴシック"/>
        <family val="3"/>
        <charset val="128"/>
      </rPr>
      <t>（遅早している）　</t>
    </r>
    <r>
      <rPr>
        <sz val="11"/>
        <rFont val="ＭＳ Ｐゴシック"/>
        <family val="3"/>
        <charset val="128"/>
      </rPr>
      <t>→　所定労働時間－実働時間　</t>
    </r>
    <r>
      <rPr>
        <sz val="11"/>
        <color indexed="12"/>
        <rFont val="ＭＳ Ｐゴシック"/>
        <family val="3"/>
        <charset val="128"/>
      </rPr>
      <t>（必ず正）</t>
    </r>
    <rPh sb="34" eb="36">
      <t>ショテイ</t>
    </rPh>
    <rPh sb="36" eb="38">
      <t>ロウドウ</t>
    </rPh>
    <rPh sb="38" eb="40">
      <t>ジカン</t>
    </rPh>
    <rPh sb="41" eb="43">
      <t>ジツドウ</t>
    </rPh>
    <rPh sb="43" eb="45">
      <t>ジカン</t>
    </rPh>
    <rPh sb="53" eb="55">
      <t>チソウ</t>
    </rPh>
    <rPh sb="63" eb="65">
      <t>ショテイ</t>
    </rPh>
    <rPh sb="65" eb="67">
      <t>ロウドウ</t>
    </rPh>
    <rPh sb="67" eb="69">
      <t>ジカン</t>
    </rPh>
    <rPh sb="70" eb="72">
      <t>ジツドウ</t>
    </rPh>
    <rPh sb="72" eb="74">
      <t>ジカン</t>
    </rPh>
    <rPh sb="76" eb="77">
      <t>カナラ</t>
    </rPh>
    <rPh sb="78" eb="79">
      <t>セイ</t>
    </rPh>
    <phoneticPr fontId="2"/>
  </si>
  <si>
    <r>
      <t>　　　　　　　　　　　　　　　　　　　　　　　　　　　　　　　　　　　　　　　　　　　　　　　　　　　　　　　　　　　 －F</t>
    </r>
    <r>
      <rPr>
        <sz val="11"/>
        <color indexed="12"/>
        <rFont val="ＭＳ Ｐゴシック"/>
        <family val="3"/>
        <charset val="128"/>
      </rPr>
      <t>（所定労働時間以上の実働時間は確保されている）　</t>
    </r>
    <r>
      <rPr>
        <sz val="11"/>
        <rFont val="ＭＳ Ｐゴシック"/>
        <family val="3"/>
        <charset val="128"/>
      </rPr>
      <t>→　ゼロ</t>
    </r>
    <rPh sb="63" eb="65">
      <t>ショテイ</t>
    </rPh>
    <rPh sb="65" eb="67">
      <t>ロウドウ</t>
    </rPh>
    <rPh sb="67" eb="69">
      <t>ジカン</t>
    </rPh>
    <rPh sb="69" eb="71">
      <t>イジョウ</t>
    </rPh>
    <rPh sb="72" eb="74">
      <t>ジツドウ</t>
    </rPh>
    <rPh sb="74" eb="76">
      <t>ジカン</t>
    </rPh>
    <rPh sb="77" eb="79">
      <t>カクホ</t>
    </rPh>
    <phoneticPr fontId="2"/>
  </si>
  <si>
    <r>
      <t>　　　　　　　　　　　　　　　　　　　　　　　　　　　　　　　　 －F→　0</t>
    </r>
    <r>
      <rPr>
        <sz val="11"/>
        <color indexed="63"/>
        <rFont val="ＭＳ Ｐゴシック"/>
        <family val="3"/>
        <charset val="128"/>
      </rPr>
      <t>　･･･常用雇用でもパートでもない→ありえないが。</t>
    </r>
    <rPh sb="42" eb="44">
      <t>ジョウヨウ</t>
    </rPh>
    <rPh sb="44" eb="46">
      <t>コヨウ</t>
    </rPh>
    <phoneticPr fontId="2"/>
  </si>
  <si>
    <t>⇒このように計算式を修正すると、K列の戻り値は　正　or　ゼロ　にしかならない。</t>
    <rPh sb="6" eb="8">
      <t>ケイサン</t>
    </rPh>
    <rPh sb="8" eb="9">
      <t>シキ</t>
    </rPh>
    <rPh sb="10" eb="12">
      <t>シュウセイ</t>
    </rPh>
    <rPh sb="17" eb="18">
      <t>レツ</t>
    </rPh>
    <rPh sb="19" eb="20">
      <t>モド</t>
    </rPh>
    <rPh sb="21" eb="22">
      <t>チ</t>
    </rPh>
    <rPh sb="24" eb="25">
      <t>セイ</t>
    </rPh>
    <phoneticPr fontId="2"/>
  </si>
  <si>
    <t>　↓</t>
    <phoneticPr fontId="2"/>
  </si>
  <si>
    <t>遅早の判定を完全には行えない</t>
    <rPh sb="0" eb="2">
      <t>チソウ</t>
    </rPh>
    <rPh sb="3" eb="5">
      <t>ハンテイ</t>
    </rPh>
    <rPh sb="6" eb="8">
      <t>カンゼン</t>
    </rPh>
    <rPh sb="10" eb="11">
      <t>オコナ</t>
    </rPh>
    <phoneticPr fontId="2"/>
  </si>
  <si>
    <t>正　　 ＝　遅刻 or 早退 が確定（但し、遅早免除・シフト等斟酌すべきものはL列で考慮）</t>
    <rPh sb="0" eb="1">
      <t>セイ</t>
    </rPh>
    <rPh sb="6" eb="8">
      <t>チコク</t>
    </rPh>
    <rPh sb="12" eb="14">
      <t>ソウタイ</t>
    </rPh>
    <rPh sb="16" eb="18">
      <t>カクテイ</t>
    </rPh>
    <rPh sb="19" eb="20">
      <t>タダ</t>
    </rPh>
    <rPh sb="22" eb="24">
      <t>チソウ</t>
    </rPh>
    <rPh sb="24" eb="26">
      <t>メンジョ</t>
    </rPh>
    <rPh sb="30" eb="31">
      <t>トウ</t>
    </rPh>
    <rPh sb="31" eb="33">
      <t>シンシャク</t>
    </rPh>
    <rPh sb="40" eb="41">
      <t>レツ</t>
    </rPh>
    <rPh sb="42" eb="44">
      <t>コウリョ</t>
    </rPh>
    <phoneticPr fontId="2"/>
  </si>
  <si>
    <t>（K列の限界）</t>
    <rPh sb="2" eb="3">
      <t>レツ</t>
    </rPh>
    <rPh sb="4" eb="6">
      <t>ゲンカイ</t>
    </rPh>
    <phoneticPr fontId="2"/>
  </si>
  <si>
    <t>ゼロ　＝　単に実働時間が所定労働時間をクリアしたに過ぎず、遅刻 or 早退 の判定まではできない。</t>
    <rPh sb="5" eb="6">
      <t>タン</t>
    </rPh>
    <rPh sb="7" eb="9">
      <t>ジツドウ</t>
    </rPh>
    <rPh sb="9" eb="11">
      <t>ジカン</t>
    </rPh>
    <rPh sb="12" eb="14">
      <t>ショテイ</t>
    </rPh>
    <rPh sb="14" eb="16">
      <t>ロウドウ</t>
    </rPh>
    <rPh sb="16" eb="18">
      <t>ジカン</t>
    </rPh>
    <rPh sb="25" eb="26">
      <t>ス</t>
    </rPh>
    <rPh sb="29" eb="31">
      <t>チコク</t>
    </rPh>
    <rPh sb="35" eb="37">
      <t>ソウタイ</t>
    </rPh>
    <rPh sb="39" eb="41">
      <t>ハンテイ</t>
    </rPh>
    <phoneticPr fontId="2"/>
  </si>
  <si>
    <t>　　　K列で計算された正の戻り値またはゼロを基に遅刻、早退時間をＬ列で確定する。</t>
    <rPh sb="4" eb="5">
      <t>レツ</t>
    </rPh>
    <rPh sb="6" eb="8">
      <t>ケイサン</t>
    </rPh>
    <rPh sb="11" eb="12">
      <t>セイ</t>
    </rPh>
    <rPh sb="13" eb="14">
      <t>モド</t>
    </rPh>
    <rPh sb="15" eb="16">
      <t>チ</t>
    </rPh>
    <rPh sb="22" eb="23">
      <t>モト</t>
    </rPh>
    <rPh sb="24" eb="26">
      <t>チコク</t>
    </rPh>
    <rPh sb="27" eb="29">
      <t>ソウタイ</t>
    </rPh>
    <rPh sb="29" eb="31">
      <t>ジカン</t>
    </rPh>
    <rPh sb="33" eb="34">
      <t>レツ</t>
    </rPh>
    <rPh sb="35" eb="37">
      <t>カクテイ</t>
    </rPh>
    <phoneticPr fontId="2"/>
  </si>
  <si>
    <r>
      <t>L列　遅刻・早退時間確定セル</t>
    </r>
    <r>
      <rPr>
        <sz val="11"/>
        <rFont val="ＭＳ Ｐゴシック"/>
        <family val="3"/>
        <charset val="128"/>
      </rPr>
      <t>（ex.セルL5）</t>
    </r>
    <rPh sb="1" eb="2">
      <t>レツ</t>
    </rPh>
    <rPh sb="3" eb="5">
      <t>チコク</t>
    </rPh>
    <rPh sb="6" eb="8">
      <t>ソウタイ</t>
    </rPh>
    <rPh sb="8" eb="10">
      <t>ジカン</t>
    </rPh>
    <rPh sb="10" eb="12">
      <t>カクテイ</t>
    </rPh>
    <phoneticPr fontId="2"/>
  </si>
  <si>
    <r>
      <t>　　従前：　（</t>
    </r>
    <r>
      <rPr>
        <sz val="11"/>
        <rFont val="ＭＳ Ｐゴシック"/>
        <family val="3"/>
        <charset val="128"/>
      </rPr>
      <t>※計算式の修正によって列番号が変わったり、項目自体が無くなったりするがそれについては無視している）</t>
    </r>
    <rPh sb="2" eb="4">
      <t>ジュウゼン</t>
    </rPh>
    <rPh sb="8" eb="10">
      <t>ケイサン</t>
    </rPh>
    <rPh sb="10" eb="11">
      <t>シキ</t>
    </rPh>
    <rPh sb="12" eb="14">
      <t>シュウセイ</t>
    </rPh>
    <rPh sb="18" eb="19">
      <t>レツ</t>
    </rPh>
    <rPh sb="19" eb="21">
      <t>バンゴウ</t>
    </rPh>
    <rPh sb="22" eb="23">
      <t>カ</t>
    </rPh>
    <rPh sb="28" eb="30">
      <t>コウモク</t>
    </rPh>
    <rPh sb="30" eb="32">
      <t>ジタイ</t>
    </rPh>
    <rPh sb="33" eb="34">
      <t>ナ</t>
    </rPh>
    <rPh sb="49" eb="51">
      <t>ムシ</t>
    </rPh>
    <phoneticPr fontId="2"/>
  </si>
  <si>
    <t>　　　　=IF(OR($J$2="営業部",$M$2="取締役",$M$2="部長",$M$2="次長",$M$2="課長") －T→　0</t>
    <phoneticPr fontId="2"/>
  </si>
  <si>
    <r>
      <t>　　　　　</t>
    </r>
    <r>
      <rPr>
        <sz val="11"/>
        <color indexed="12"/>
        <rFont val="ＭＳ Ｐゴシック"/>
        <family val="3"/>
        <charset val="128"/>
      </rPr>
      <t>営業部 及び 41条該当者 は遅早無関係　</t>
    </r>
    <r>
      <rPr>
        <sz val="11"/>
        <rFont val="ＭＳ Ｐゴシック"/>
        <family val="3"/>
        <charset val="128"/>
      </rPr>
      <t xml:space="preserve">                              　　　　　　　　　　　－F→　OR(A5="",B5="土",B5="日",C5="祝",C5="休",P5=1,R5=1,S5=1,T5=1,U5=1,V5=1,W5=1,X5=1) </t>
    </r>
    <rPh sb="5" eb="7">
      <t>エイギョウ</t>
    </rPh>
    <rPh sb="7" eb="8">
      <t>ブ</t>
    </rPh>
    <rPh sb="9" eb="10">
      <t>オヨ</t>
    </rPh>
    <rPh sb="14" eb="15">
      <t>ジョウ</t>
    </rPh>
    <rPh sb="15" eb="18">
      <t>ガイトウシャ</t>
    </rPh>
    <rPh sb="20" eb="22">
      <t>チソウ</t>
    </rPh>
    <rPh sb="22" eb="25">
      <t>ムカンケイ</t>
    </rPh>
    <rPh sb="105" eb="106">
      <t>キュウ</t>
    </rPh>
    <phoneticPr fontId="2"/>
  </si>
  <si>
    <t>日付=""　曜日="土","日"　祝日="祝","休"</t>
    <rPh sb="0" eb="2">
      <t>ヒヅケ</t>
    </rPh>
    <rPh sb="6" eb="8">
      <t>ヨウビ</t>
    </rPh>
    <rPh sb="10" eb="11">
      <t>ド</t>
    </rPh>
    <rPh sb="14" eb="15">
      <t>ニチ</t>
    </rPh>
    <rPh sb="17" eb="19">
      <t>シュクジツ</t>
    </rPh>
    <rPh sb="21" eb="22">
      <t>シュク</t>
    </rPh>
    <rPh sb="25" eb="26">
      <t>キュウ</t>
    </rPh>
    <phoneticPr fontId="2"/>
  </si>
  <si>
    <t>遅早免除=1　全休=1　半休=1　特休=1　振休=1　欠勤=1　休出=1　予定=1</t>
    <rPh sb="0" eb="2">
      <t>チソウ</t>
    </rPh>
    <rPh sb="2" eb="4">
      <t>メンジョ</t>
    </rPh>
    <rPh sb="7" eb="9">
      <t>ゼンキュウ</t>
    </rPh>
    <rPh sb="12" eb="14">
      <t>ハンキュウ</t>
    </rPh>
    <rPh sb="17" eb="18">
      <t>トク</t>
    </rPh>
    <rPh sb="18" eb="19">
      <t>キュウ</t>
    </rPh>
    <rPh sb="22" eb="24">
      <t>フリキュウ</t>
    </rPh>
    <rPh sb="27" eb="29">
      <t>ケッキン</t>
    </rPh>
    <rPh sb="32" eb="34">
      <t>キュウシュツ</t>
    </rPh>
    <rPh sb="37" eb="39">
      <t>ヨテイ</t>
    </rPh>
    <phoneticPr fontId="2"/>
  </si>
  <si>
    <t>　　　　　　　　　　　　　　　　　　　　　　　　　　　　　　　　　　　　　　　　　　　　　　　　　　　　　　　　　　　　　　－T→　0</t>
    <phoneticPr fontId="2"/>
  </si>
  <si>
    <r>
      <t xml:space="preserve">      　　　　　　　　　　　　　　　　　　　　　　　　　　　　　　　　　　　　　　　　　　　　　　　　　　　　　　　　　　　－F</t>
    </r>
    <r>
      <rPr>
        <sz val="11"/>
        <color indexed="12"/>
        <rFont val="ＭＳ Ｐゴシック"/>
        <family val="3"/>
        <charset val="128"/>
      </rPr>
      <t>（遅早の余地ある）</t>
    </r>
    <r>
      <rPr>
        <sz val="11"/>
        <rFont val="ＭＳ Ｐゴシック"/>
        <family val="3"/>
        <charset val="128"/>
      </rPr>
      <t>→  $F$2&lt;E5　</t>
    </r>
    <r>
      <rPr>
        <sz val="11"/>
        <color indexed="12"/>
        <rFont val="ＭＳ Ｐゴシック"/>
        <family val="3"/>
        <charset val="128"/>
      </rPr>
      <t>所定始業時刻＜実際出社時刻→文字通りの"遅刻"の判定</t>
    </r>
    <rPh sb="68" eb="70">
      <t>チソウ</t>
    </rPh>
    <rPh sb="71" eb="73">
      <t>ヨチ</t>
    </rPh>
    <rPh sb="87" eb="89">
      <t>ショテイ</t>
    </rPh>
    <rPh sb="89" eb="91">
      <t>シギョウ</t>
    </rPh>
    <rPh sb="91" eb="93">
      <t>ジコク</t>
    </rPh>
    <rPh sb="94" eb="96">
      <t>ジッサイ</t>
    </rPh>
    <rPh sb="96" eb="98">
      <t>シュッシャ</t>
    </rPh>
    <rPh sb="98" eb="100">
      <t>ジコク</t>
    </rPh>
    <rPh sb="101" eb="103">
      <t>モジ</t>
    </rPh>
    <rPh sb="103" eb="104">
      <t>ドオ</t>
    </rPh>
    <rPh sb="107" eb="109">
      <t>チコク</t>
    </rPh>
    <rPh sb="111" eb="113">
      <t>ハンテイ</t>
    </rPh>
    <phoneticPr fontId="2"/>
  </si>
  <si>
    <r>
      <t xml:space="preserve">        　　　　　　　　　　　　　　　　　　　　　　　　　　　　　　　　　　　　　　　　　　　　　　　　　　　　　　　　　　　　　　　　－T</t>
    </r>
    <r>
      <rPr>
        <sz val="11"/>
        <color indexed="12"/>
        <rFont val="ＭＳ Ｐゴシック"/>
        <family val="3"/>
        <charset val="128"/>
      </rPr>
      <t>（遅早の"遅"、遅刻が確定）</t>
    </r>
    <r>
      <rPr>
        <sz val="11"/>
        <rFont val="ＭＳ Ｐゴシック"/>
        <family val="3"/>
        <charset val="128"/>
      </rPr>
      <t>→　</t>
    </r>
    <r>
      <rPr>
        <b/>
        <sz val="11"/>
        <color indexed="10"/>
        <rFont val="ＭＳ Ｐゴシック"/>
        <family val="3"/>
        <charset val="128"/>
      </rPr>
      <t>K5&lt;0　</t>
    </r>
    <r>
      <rPr>
        <sz val="11"/>
        <color indexed="10"/>
        <rFont val="ＭＳ Ｐゴシック"/>
        <family val="3"/>
        <charset val="128"/>
      </rPr>
      <t>K列が負になることは無くなった！</t>
    </r>
    <rPh sb="75" eb="77">
      <t>チソウ</t>
    </rPh>
    <rPh sb="79" eb="80">
      <t>チ</t>
    </rPh>
    <rPh sb="82" eb="84">
      <t>チコク</t>
    </rPh>
    <rPh sb="85" eb="87">
      <t>カクテイ</t>
    </rPh>
    <rPh sb="96" eb="97">
      <t>レツ</t>
    </rPh>
    <rPh sb="98" eb="99">
      <t>フ</t>
    </rPh>
    <rPh sb="105" eb="106">
      <t>ナ</t>
    </rPh>
    <phoneticPr fontId="2"/>
  </si>
  <si>
    <r>
      <t xml:space="preserve">        　　　　　　　　　　　　　　　　　　　　　　　　　　　　　　　　　　　　　　　　　　　　　　　　　　　　　　　　　　　　　　　　　　　　　　　　－T→　</t>
    </r>
    <r>
      <rPr>
        <b/>
        <sz val="11"/>
        <color indexed="10"/>
        <rFont val="ＭＳ Ｐゴシック"/>
        <family val="3"/>
        <charset val="128"/>
      </rPr>
      <t>E5-$F$2</t>
    </r>
    <r>
      <rPr>
        <sz val="11"/>
        <rFont val="ＭＳ Ｐゴシック"/>
        <family val="3"/>
        <charset val="128"/>
      </rPr>
      <t>　　</t>
    </r>
    <r>
      <rPr>
        <sz val="11"/>
        <color indexed="10"/>
        <rFont val="ＭＳ Ｐゴシック"/>
        <family val="3"/>
        <charset val="128"/>
      </rPr>
      <t>→ → → → 従って、TRUEとはなり得ない</t>
    </r>
    <rPh sb="101" eb="102">
      <t>シタガ</t>
    </rPh>
    <rPh sb="113" eb="114">
      <t>エ</t>
    </rPh>
    <phoneticPr fontId="2"/>
  </si>
  <si>
    <t xml:space="preserve">        　　　　　　　　　　　　　　　　　　　　　　　　　　　　　　　　　　　　　　　　　　　　　　　　　　　　　　　　　　　　　　　　　　　　　　　　－F→　K5&gt;E5-$F$2</t>
    <phoneticPr fontId="2"/>
  </si>
  <si>
    <t>所定労働時間に対して実働時間が不足している時間←→文字通り"遅刻"した時間　の比較</t>
    <rPh sb="0" eb="2">
      <t>ショテイ</t>
    </rPh>
    <rPh sb="2" eb="4">
      <t>ロウドウ</t>
    </rPh>
    <rPh sb="4" eb="6">
      <t>ジカン</t>
    </rPh>
    <rPh sb="7" eb="8">
      <t>タイ</t>
    </rPh>
    <rPh sb="10" eb="12">
      <t>ジツドウ</t>
    </rPh>
    <rPh sb="12" eb="14">
      <t>ジカン</t>
    </rPh>
    <rPh sb="15" eb="17">
      <t>フソク</t>
    </rPh>
    <rPh sb="21" eb="23">
      <t>ジカン</t>
    </rPh>
    <rPh sb="25" eb="27">
      <t>モジ</t>
    </rPh>
    <rPh sb="27" eb="28">
      <t>ドオ</t>
    </rPh>
    <rPh sb="30" eb="32">
      <t>チコク</t>
    </rPh>
    <rPh sb="35" eb="37">
      <t>ジカン</t>
    </rPh>
    <rPh sb="39" eb="41">
      <t>ヒカク</t>
    </rPh>
    <phoneticPr fontId="2"/>
  </si>
  <si>
    <r>
      <t xml:space="preserve">        　　　　　　　　　　　　　　　　　　　　　　　　　　　　　　　　　　　　　　　　　　　　　　　　　　　　　　　　　　　　　　　　　　　　　　　　　　　　　－T（不足時間の方が大きい</t>
    </r>
    <r>
      <rPr>
        <sz val="11"/>
        <color indexed="18"/>
        <rFont val="ＭＳ Ｐゴシック"/>
        <family val="3"/>
        <charset val="128"/>
      </rPr>
      <t>)</t>
    </r>
    <r>
      <rPr>
        <sz val="11"/>
        <rFont val="ＭＳ Ｐゴシック"/>
        <family val="3"/>
        <charset val="128"/>
      </rPr>
      <t xml:space="preserve">→　K5 </t>
    </r>
    <r>
      <rPr>
        <sz val="11"/>
        <color indexed="18"/>
        <rFont val="ＭＳ Ｐゴシック"/>
        <family val="3"/>
        <charset val="128"/>
      </rPr>
      <t>（不足時間）</t>
    </r>
    <rPh sb="88" eb="90">
      <t>フソク</t>
    </rPh>
    <rPh sb="90" eb="92">
      <t>ジカン</t>
    </rPh>
    <rPh sb="93" eb="94">
      <t>ホウ</t>
    </rPh>
    <rPh sb="95" eb="96">
      <t>オオ</t>
    </rPh>
    <rPh sb="105" eb="107">
      <t>フソク</t>
    </rPh>
    <rPh sb="107" eb="109">
      <t>ジカン</t>
    </rPh>
    <phoneticPr fontId="2"/>
  </si>
  <si>
    <r>
      <t xml:space="preserve">        　　　　　　　　　　　　　　　　　　　　　　　　　　　　　　　　　　　　　　　　　　　　　　　　　　　　　　　　　　　　　　　　　　　　　　　　　　　　　－F</t>
    </r>
    <r>
      <rPr>
        <sz val="11"/>
        <color indexed="18"/>
        <rFont val="ＭＳ Ｐゴシック"/>
        <family val="3"/>
        <charset val="128"/>
      </rPr>
      <t>（"遅刻"時間の方が大きいか同値）</t>
    </r>
    <r>
      <rPr>
        <sz val="11"/>
        <rFont val="ＭＳ Ｐゴシック"/>
        <family val="3"/>
        <charset val="128"/>
      </rPr>
      <t xml:space="preserve">→　E5-$F$2 </t>
    </r>
    <r>
      <rPr>
        <sz val="11"/>
        <color indexed="18"/>
        <rFont val="ＭＳ Ｐゴシック"/>
        <family val="3"/>
        <charset val="128"/>
      </rPr>
      <t>（"遅刻"時間）</t>
    </r>
    <rPh sb="89" eb="91">
      <t>チコク</t>
    </rPh>
    <rPh sb="92" eb="94">
      <t>ジカン</t>
    </rPh>
    <rPh sb="95" eb="96">
      <t>ホウ</t>
    </rPh>
    <rPh sb="97" eb="98">
      <t>オオ</t>
    </rPh>
    <rPh sb="101" eb="103">
      <t>ドウチ</t>
    </rPh>
    <rPh sb="116" eb="118">
      <t>チコク</t>
    </rPh>
    <rPh sb="119" eb="121">
      <t>ジカン</t>
    </rPh>
    <phoneticPr fontId="2"/>
  </si>
  <si>
    <r>
      <t xml:space="preserve">        　　　　　　　　　　　　　　　　　　　　　　　　　　　　　　　　　　　　　　　　　　　　　　　　　　　　　　　　　　　　　　　　－F</t>
    </r>
    <r>
      <rPr>
        <sz val="11"/>
        <color indexed="12"/>
        <rFont val="ＭＳ Ｐゴシック"/>
        <family val="3"/>
        <charset val="128"/>
      </rPr>
      <t>（"遅刻"はしていない。が早退は判断不可）</t>
    </r>
    <r>
      <rPr>
        <sz val="11"/>
        <rFont val="ＭＳ Ｐゴシック"/>
        <family val="3"/>
        <charset val="128"/>
      </rPr>
      <t>→　K5&gt;0　</t>
    </r>
    <r>
      <rPr>
        <sz val="11"/>
        <color indexed="12"/>
        <rFont val="ＭＳ Ｐゴシック"/>
        <family val="3"/>
        <charset val="128"/>
      </rPr>
      <t>（そこで早退の判断）</t>
    </r>
    <rPh sb="76" eb="78">
      <t>チコク</t>
    </rPh>
    <rPh sb="87" eb="89">
      <t>ソウタイ</t>
    </rPh>
    <rPh sb="90" eb="92">
      <t>ハンダン</t>
    </rPh>
    <rPh sb="92" eb="94">
      <t>フカ</t>
    </rPh>
    <rPh sb="106" eb="108">
      <t>ソウタイ</t>
    </rPh>
    <rPh sb="109" eb="111">
      <t>ハンダン</t>
    </rPh>
    <phoneticPr fontId="2"/>
  </si>
  <si>
    <r>
      <t xml:space="preserve">        　　　　　　　　　　　　　　　　　　　　　　　　　　　　　　　　　　　　　　　　　　　　　　　　　　　　　　　　　　　　　　　　　　　　　　－T→　K5　</t>
    </r>
    <r>
      <rPr>
        <sz val="11"/>
        <color indexed="12"/>
        <rFont val="ＭＳ Ｐゴシック"/>
        <family val="3"/>
        <charset val="128"/>
      </rPr>
      <t>（早退している）</t>
    </r>
    <rPh sb="86" eb="88">
      <t>ソウタイ</t>
    </rPh>
    <phoneticPr fontId="2"/>
  </si>
  <si>
    <t xml:space="preserve">        　　　　　　　　　　　　　　　　　　　　　　　　　　　　　　　　　　　　　　　　　　　　　　　　　　　　　　　　　　　　　　　　　　　　　　－F→　0</t>
    <phoneticPr fontId="2"/>
  </si>
  <si>
    <t>K5=0 の方がスマート。遅刻してないし早退もしていない、と。</t>
    <rPh sb="6" eb="7">
      <t>ホウ</t>
    </rPh>
    <rPh sb="13" eb="15">
      <t>チコク</t>
    </rPh>
    <rPh sb="20" eb="22">
      <t>ソウタイ</t>
    </rPh>
    <phoneticPr fontId="2"/>
  </si>
  <si>
    <t>その上で、TRUEのとき0を返し、FALSEの時は早退をしているので</t>
    <rPh sb="2" eb="3">
      <t>ウエ</t>
    </rPh>
    <rPh sb="14" eb="15">
      <t>カエ</t>
    </rPh>
    <rPh sb="23" eb="24">
      <t>トキ</t>
    </rPh>
    <rPh sb="25" eb="27">
      <t>ソウタイ</t>
    </rPh>
    <phoneticPr fontId="2"/>
  </si>
  <si>
    <t>K5を返すようにすればいい。</t>
    <rPh sb="3" eb="4">
      <t>カエ</t>
    </rPh>
    <phoneticPr fontId="2"/>
  </si>
  <si>
    <t>修正：</t>
    <rPh sb="0" eb="2">
      <t>シュウセイ</t>
    </rPh>
    <phoneticPr fontId="2"/>
  </si>
  <si>
    <t>IF(　OR　($J$2="営業部"　,$M$2="取締役",$M$2="部長",$M$2="次長",$M$2="部長代理",$M$2="課長",$M$2="ＭＧ",</t>
    <phoneticPr fontId="2"/>
  </si>
  <si>
    <t>営業・管理職・日付欄が空欄・土日祝日・会社の休日・</t>
    <rPh sb="0" eb="2">
      <t>エイギョウ</t>
    </rPh>
    <rPh sb="3" eb="5">
      <t>カンリ</t>
    </rPh>
    <rPh sb="5" eb="6">
      <t>ショク</t>
    </rPh>
    <rPh sb="7" eb="9">
      <t>ヒヅケ</t>
    </rPh>
    <rPh sb="9" eb="10">
      <t>ラン</t>
    </rPh>
    <rPh sb="11" eb="13">
      <t>クウラン</t>
    </rPh>
    <rPh sb="14" eb="16">
      <t>ドニチ</t>
    </rPh>
    <rPh sb="16" eb="18">
      <t>シュクジツ</t>
    </rPh>
    <rPh sb="19" eb="21">
      <t>カイシャ</t>
    </rPh>
    <rPh sb="22" eb="24">
      <t>キュウジツ</t>
    </rPh>
    <phoneticPr fontId="2"/>
  </si>
  <si>
    <t>　　　　　　　A5="",B5="土",B5="日",C5="祝",C5="休",P5=1,R5=1,S5=1,T5=1,U5=1,X5=1,AA5=1,AB5=1,AC5=1)</t>
    <phoneticPr fontId="2"/>
  </si>
  <si>
    <t>遅早免除を受けた日（P）</t>
    <rPh sb="0" eb="2">
      <t>チソウ</t>
    </rPh>
    <rPh sb="2" eb="4">
      <t>メンジョ</t>
    </rPh>
    <rPh sb="5" eb="6">
      <t>ウ</t>
    </rPh>
    <rPh sb="8" eb="9">
      <t>ヒ</t>
    </rPh>
    <phoneticPr fontId="2"/>
  </si>
  <si>
    <t>有給休暇(R）　　　　　　　欠勤（X）</t>
    <rPh sb="0" eb="2">
      <t>ユウキュウ</t>
    </rPh>
    <rPh sb="2" eb="4">
      <t>キュウカ</t>
    </rPh>
    <rPh sb="14" eb="16">
      <t>ケッキン</t>
    </rPh>
    <phoneticPr fontId="2"/>
  </si>
  <si>
    <t>T→　0</t>
    <phoneticPr fontId="2"/>
  </si>
  <si>
    <t>午前/午後半休（S）　　　夏季休暇（AA）</t>
    <rPh sb="0" eb="2">
      <t>ゴゼン</t>
    </rPh>
    <rPh sb="3" eb="5">
      <t>ゴゴ</t>
    </rPh>
    <rPh sb="5" eb="7">
      <t>ハンキュウ</t>
    </rPh>
    <rPh sb="13" eb="15">
      <t>カキ</t>
    </rPh>
    <rPh sb="15" eb="17">
      <t>キュウカ</t>
    </rPh>
    <phoneticPr fontId="2"/>
  </si>
  <si>
    <r>
      <t>F</t>
    </r>
    <r>
      <rPr>
        <sz val="11"/>
        <color indexed="12"/>
        <rFont val="ＭＳ Ｐゴシック"/>
        <family val="3"/>
        <charset val="128"/>
      </rPr>
      <t>（遅早計算対象者）</t>
    </r>
    <r>
      <rPr>
        <sz val="11"/>
        <rFont val="ＭＳ Ｐゴシック"/>
        <family val="3"/>
        <charset val="128"/>
      </rPr>
      <t>→　IF(　$F$2&lt;E5,　</t>
    </r>
    <r>
      <rPr>
        <sz val="11"/>
        <color indexed="12"/>
        <rFont val="ＭＳ Ｐゴシック"/>
        <family val="3"/>
        <charset val="128"/>
      </rPr>
      <t>･･所定始業時刻より後に出社している（遅刻）</t>
    </r>
    <rPh sb="2" eb="4">
      <t>チソウ</t>
    </rPh>
    <rPh sb="4" eb="6">
      <t>ケイサン</t>
    </rPh>
    <rPh sb="6" eb="8">
      <t>タイショウ</t>
    </rPh>
    <rPh sb="8" eb="9">
      <t>シャ</t>
    </rPh>
    <rPh sb="27" eb="29">
      <t>ショテイ</t>
    </rPh>
    <rPh sb="29" eb="31">
      <t>シギョウ</t>
    </rPh>
    <rPh sb="31" eb="33">
      <t>ジコク</t>
    </rPh>
    <rPh sb="35" eb="36">
      <t>アト</t>
    </rPh>
    <rPh sb="37" eb="39">
      <t>シュッシャ</t>
    </rPh>
    <rPh sb="44" eb="46">
      <t>チコク</t>
    </rPh>
    <phoneticPr fontId="2"/>
  </si>
  <si>
    <t>休日出勤（T）　　　　　　　冬期休暇（AB）</t>
    <rPh sb="0" eb="2">
      <t>キュウジツ</t>
    </rPh>
    <rPh sb="2" eb="4">
      <t>シュッキン</t>
    </rPh>
    <rPh sb="14" eb="16">
      <t>トウキ</t>
    </rPh>
    <rPh sb="16" eb="18">
      <t>キュウカ</t>
    </rPh>
    <phoneticPr fontId="2"/>
  </si>
  <si>
    <t>振替休日（U）　　　　　　　特別休暇（AC）</t>
    <rPh sb="0" eb="2">
      <t>フリカエ</t>
    </rPh>
    <rPh sb="2" eb="4">
      <t>キュウジツ</t>
    </rPh>
    <rPh sb="14" eb="16">
      <t>トクベツ</t>
    </rPh>
    <rPh sb="16" eb="18">
      <t>キュウカ</t>
    </rPh>
    <phoneticPr fontId="2"/>
  </si>
  <si>
    <t>T→　IF(Q5="シフト勤務",</t>
    <phoneticPr fontId="2"/>
  </si>
  <si>
    <t>→これらに該当するときは遅早時間計算しない</t>
    <rPh sb="5" eb="7">
      <t>ガイトウ</t>
    </rPh>
    <rPh sb="12" eb="14">
      <t>チソウ</t>
    </rPh>
    <rPh sb="14" eb="16">
      <t>ジカン</t>
    </rPh>
    <rPh sb="16" eb="18">
      <t>ケイサン</t>
    </rPh>
    <phoneticPr fontId="2"/>
  </si>
  <si>
    <r>
      <t>T→　,IF(K5&gt;0,　</t>
    </r>
    <r>
      <rPr>
        <sz val="11"/>
        <color indexed="12"/>
        <rFont val="ＭＳ Ｐゴシック"/>
        <family val="3"/>
        <charset val="128"/>
      </rPr>
      <t>･･K5&gt;0=実働が所定に比して不足している場合の８ｈ-実働として計算された値</t>
    </r>
    <rPh sb="20" eb="22">
      <t>ジツドウ</t>
    </rPh>
    <rPh sb="23" eb="25">
      <t>ショテイ</t>
    </rPh>
    <rPh sb="26" eb="27">
      <t>ヒ</t>
    </rPh>
    <rPh sb="29" eb="31">
      <t>フソク</t>
    </rPh>
    <rPh sb="35" eb="37">
      <t>バアイ</t>
    </rPh>
    <rPh sb="41" eb="43">
      <t>ジツドウ</t>
    </rPh>
    <rPh sb="46" eb="48">
      <t>ケイサン</t>
    </rPh>
    <rPh sb="51" eb="52">
      <t>アタイ</t>
    </rPh>
    <phoneticPr fontId="2"/>
  </si>
  <si>
    <r>
      <t>　　　　　　　　　　　</t>
    </r>
    <r>
      <rPr>
        <sz val="11"/>
        <color indexed="12"/>
        <rFont val="ＭＳ Ｐゴシック"/>
        <family val="3"/>
        <charset val="128"/>
      </rPr>
      <t>シフト勤務した結果、所定労働時間に満たない実働に終わったか？の判定</t>
    </r>
    <rPh sb="35" eb="36">
      <t>オ</t>
    </rPh>
    <rPh sb="42" eb="44">
      <t>ハンテイ</t>
    </rPh>
    <phoneticPr fontId="2"/>
  </si>
  <si>
    <r>
      <t>T→　K5,　</t>
    </r>
    <r>
      <rPr>
        <sz val="11"/>
        <color indexed="12"/>
        <rFont val="ＭＳ Ｐゴシック"/>
        <family val="3"/>
        <charset val="128"/>
      </rPr>
      <t>･･シフトした場合にはどんなに遅く出社しても遅刻には該当しないが実働時間不足による早退にはなり得る</t>
    </r>
    <rPh sb="14" eb="16">
      <t>バアイ</t>
    </rPh>
    <rPh sb="22" eb="23">
      <t>オソ</t>
    </rPh>
    <rPh sb="24" eb="26">
      <t>シュッシャ</t>
    </rPh>
    <rPh sb="29" eb="31">
      <t>チコク</t>
    </rPh>
    <rPh sb="33" eb="35">
      <t>ガイトウ</t>
    </rPh>
    <rPh sb="39" eb="41">
      <t>ジツドウ</t>
    </rPh>
    <rPh sb="41" eb="43">
      <t>ジカン</t>
    </rPh>
    <rPh sb="43" eb="45">
      <t>フソク</t>
    </rPh>
    <rPh sb="48" eb="50">
      <t>ソウタイ</t>
    </rPh>
    <rPh sb="54" eb="55">
      <t>ウ</t>
    </rPh>
    <phoneticPr fontId="2"/>
  </si>
  <si>
    <r>
      <t>F→　0),　</t>
    </r>
    <r>
      <rPr>
        <sz val="11"/>
        <color indexed="12"/>
        <rFont val="ＭＳ Ｐゴシック"/>
        <family val="3"/>
        <charset val="128"/>
      </rPr>
      <t>･･シフト勤務して尚且つ労働時間にも不足は生じていない</t>
    </r>
    <rPh sb="12" eb="14">
      <t>キンム</t>
    </rPh>
    <rPh sb="16" eb="18">
      <t>ナオカ</t>
    </rPh>
    <rPh sb="19" eb="21">
      <t>ロウドウ</t>
    </rPh>
    <rPh sb="21" eb="23">
      <t>ジカン</t>
    </rPh>
    <rPh sb="25" eb="27">
      <t>フソク</t>
    </rPh>
    <rPh sb="28" eb="29">
      <t>ショウ</t>
    </rPh>
    <phoneticPr fontId="2"/>
  </si>
  <si>
    <r>
      <t>F→　IF(K5&gt;E5-$F$2,　</t>
    </r>
    <r>
      <rPr>
        <sz val="11"/>
        <color indexed="12"/>
        <rFont val="ＭＳ Ｐゴシック"/>
        <family val="3"/>
        <charset val="128"/>
      </rPr>
      <t>･･遅刻の理由がシフト勤務ではない場合であって、文字通り遅刻した時間よりも</t>
    </r>
    <rPh sb="20" eb="22">
      <t>チコク</t>
    </rPh>
    <rPh sb="23" eb="25">
      <t>リユウ</t>
    </rPh>
    <rPh sb="29" eb="31">
      <t>キンム</t>
    </rPh>
    <rPh sb="35" eb="37">
      <t>バアイ</t>
    </rPh>
    <rPh sb="42" eb="44">
      <t>モジ</t>
    </rPh>
    <rPh sb="44" eb="45">
      <t>ドオ</t>
    </rPh>
    <rPh sb="46" eb="48">
      <t>チコク</t>
    </rPh>
    <rPh sb="50" eb="52">
      <t>ジカン</t>
    </rPh>
    <phoneticPr fontId="2"/>
  </si>
  <si>
    <t>K列で計算された8ｈ（所定ｈ）に対する不足時間の方が大きいか？</t>
    <rPh sb="1" eb="2">
      <t>レツ</t>
    </rPh>
    <rPh sb="3" eb="5">
      <t>ケイサン</t>
    </rPh>
    <rPh sb="11" eb="13">
      <t>ショテイ</t>
    </rPh>
    <rPh sb="16" eb="17">
      <t>タイ</t>
    </rPh>
    <rPh sb="19" eb="21">
      <t>フソク</t>
    </rPh>
    <rPh sb="21" eb="23">
      <t>ジカン</t>
    </rPh>
    <rPh sb="24" eb="25">
      <t>ホウ</t>
    </rPh>
    <rPh sb="26" eb="27">
      <t>オオ</t>
    </rPh>
    <phoneticPr fontId="2"/>
  </si>
  <si>
    <r>
      <t>T→　K5,　</t>
    </r>
    <r>
      <rPr>
        <sz val="11"/>
        <color indexed="12"/>
        <rFont val="ＭＳ Ｐゴシック"/>
        <family val="3"/>
        <charset val="128"/>
      </rPr>
      <t>･･不足時間を遅早時間として計上する</t>
    </r>
    <rPh sb="9" eb="11">
      <t>フソク</t>
    </rPh>
    <rPh sb="11" eb="13">
      <t>ジカン</t>
    </rPh>
    <rPh sb="14" eb="16">
      <t>チソウ</t>
    </rPh>
    <rPh sb="16" eb="18">
      <t>ジカン</t>
    </rPh>
    <rPh sb="21" eb="23">
      <t>ケイジョウ</t>
    </rPh>
    <phoneticPr fontId="2"/>
  </si>
  <si>
    <r>
      <t>F→　E5-$F$2)),　</t>
    </r>
    <r>
      <rPr>
        <sz val="11"/>
        <color indexed="12"/>
        <rFont val="ＭＳ Ｐゴシック"/>
        <family val="3"/>
        <charset val="128"/>
      </rPr>
      <t>･･文字通りの遅刻時間を遅早時間として計上する</t>
    </r>
    <rPh sb="16" eb="18">
      <t>モジ</t>
    </rPh>
    <rPh sb="18" eb="19">
      <t>ドオ</t>
    </rPh>
    <rPh sb="21" eb="23">
      <t>チコク</t>
    </rPh>
    <rPh sb="23" eb="25">
      <t>ジカン</t>
    </rPh>
    <rPh sb="26" eb="28">
      <t>チソウ</t>
    </rPh>
    <rPh sb="28" eb="30">
      <t>ジカン</t>
    </rPh>
    <rPh sb="33" eb="35">
      <t>ケイジョウ</t>
    </rPh>
    <phoneticPr fontId="2"/>
  </si>
  <si>
    <r>
      <t>F</t>
    </r>
    <r>
      <rPr>
        <sz val="11"/>
        <color indexed="12"/>
        <rFont val="ＭＳ Ｐゴシック"/>
        <family val="3"/>
        <charset val="128"/>
      </rPr>
      <t>（時間通りに出社した）</t>
    </r>
    <r>
      <rPr>
        <sz val="11"/>
        <rFont val="ＭＳ Ｐゴシック"/>
        <family val="3"/>
        <charset val="128"/>
      </rPr>
      <t>→　IF(K5=0,　</t>
    </r>
    <r>
      <rPr>
        <sz val="11"/>
        <color indexed="12"/>
        <rFont val="ＭＳ Ｐゴシック"/>
        <family val="3"/>
        <charset val="128"/>
      </rPr>
      <t>･･実働時間が所定労働時間以上である</t>
    </r>
    <rPh sb="2" eb="4">
      <t>ジカン</t>
    </rPh>
    <rPh sb="4" eb="5">
      <t>ドオ</t>
    </rPh>
    <rPh sb="7" eb="9">
      <t>シュッシャ</t>
    </rPh>
    <rPh sb="25" eb="27">
      <t>ジツドウ</t>
    </rPh>
    <rPh sb="27" eb="29">
      <t>ジカン</t>
    </rPh>
    <rPh sb="30" eb="32">
      <t>ショテイ</t>
    </rPh>
    <rPh sb="32" eb="34">
      <t>ロウドウ</t>
    </rPh>
    <rPh sb="34" eb="36">
      <t>ジカン</t>
    </rPh>
    <rPh sb="36" eb="38">
      <t>イジョウ</t>
    </rPh>
    <phoneticPr fontId="2"/>
  </si>
  <si>
    <r>
      <t>T→　0,　</t>
    </r>
    <r>
      <rPr>
        <sz val="11"/>
        <color indexed="12"/>
        <rFont val="ＭＳ Ｐゴシック"/>
        <family val="3"/>
        <charset val="128"/>
      </rPr>
      <t>･･遅刻もしていなければ早退もしていない</t>
    </r>
    <rPh sb="8" eb="10">
      <t>チコク</t>
    </rPh>
    <rPh sb="18" eb="20">
      <t>ソウタイ</t>
    </rPh>
    <phoneticPr fontId="2"/>
  </si>
  <si>
    <r>
      <t>F→　K5)))　</t>
    </r>
    <r>
      <rPr>
        <sz val="11"/>
        <color indexed="12"/>
        <rFont val="ＭＳ Ｐゴシック"/>
        <family val="3"/>
        <charset val="128"/>
      </rPr>
      <t>･･遅刻はしていないが早退している</t>
    </r>
    <rPh sb="11" eb="13">
      <t>チコク</t>
    </rPh>
    <rPh sb="20" eb="22">
      <t>ソウタイ</t>
    </rPh>
    <phoneticPr fontId="2"/>
  </si>
  <si>
    <t>【届書シート】</t>
    <rPh sb="1" eb="2">
      <t>トド</t>
    </rPh>
    <rPh sb="2" eb="3">
      <t>ショ</t>
    </rPh>
    <phoneticPr fontId="2"/>
  </si>
  <si>
    <t>・今まで残業申請の書式中に休日出勤、振替休日の記載欄があったが、残業申請書を廃止するため届書内に新たに</t>
    <rPh sb="1" eb="2">
      <t>イマ</t>
    </rPh>
    <rPh sb="4" eb="6">
      <t>ザンギョウ</t>
    </rPh>
    <rPh sb="6" eb="8">
      <t>シンセイ</t>
    </rPh>
    <rPh sb="9" eb="11">
      <t>ショシキ</t>
    </rPh>
    <rPh sb="11" eb="12">
      <t>チュウ</t>
    </rPh>
    <rPh sb="13" eb="15">
      <t>キュウジツ</t>
    </rPh>
    <rPh sb="15" eb="17">
      <t>シュッキン</t>
    </rPh>
    <rPh sb="18" eb="20">
      <t>フリカエ</t>
    </rPh>
    <rPh sb="20" eb="22">
      <t>キュウジツ</t>
    </rPh>
    <rPh sb="23" eb="25">
      <t>キサイ</t>
    </rPh>
    <rPh sb="25" eb="26">
      <t>ラン</t>
    </rPh>
    <rPh sb="32" eb="34">
      <t>ザンギョウ</t>
    </rPh>
    <rPh sb="34" eb="37">
      <t>シンセイショ</t>
    </rPh>
    <rPh sb="38" eb="40">
      <t>ハイシ</t>
    </rPh>
    <rPh sb="44" eb="46">
      <t>トドケショ</t>
    </rPh>
    <rPh sb="46" eb="47">
      <t>ナイ</t>
    </rPh>
    <rPh sb="48" eb="49">
      <t>アラ</t>
    </rPh>
    <phoneticPr fontId="2"/>
  </si>
  <si>
    <t>　休日出勤、振替休日、シフト勤務の報告もできるようリストに追加した。</t>
    <rPh sb="1" eb="3">
      <t>キュウジツ</t>
    </rPh>
    <rPh sb="3" eb="5">
      <t>シュッキン</t>
    </rPh>
    <rPh sb="6" eb="8">
      <t>フリカエ</t>
    </rPh>
    <rPh sb="8" eb="10">
      <t>キュウジツ</t>
    </rPh>
    <rPh sb="14" eb="16">
      <t>キンム</t>
    </rPh>
    <rPh sb="17" eb="19">
      <t>ホウコク</t>
    </rPh>
    <rPh sb="29" eb="31">
      <t>ツイカ</t>
    </rPh>
    <phoneticPr fontId="2"/>
  </si>
  <si>
    <t>Ver.20080820</t>
    <phoneticPr fontId="2"/>
  </si>
  <si>
    <t>■■祝日等■■</t>
    <rPh sb="2" eb="4">
      <t>シュクジツ</t>
    </rPh>
    <rPh sb="4" eb="5">
      <t>トウ</t>
    </rPh>
    <phoneticPr fontId="2"/>
  </si>
  <si>
    <t>元旦</t>
    <rPh sb="0" eb="2">
      <t>ガンタン</t>
    </rPh>
    <phoneticPr fontId="2"/>
  </si>
  <si>
    <t>月</t>
    <rPh sb="0" eb="1">
      <t>ガツ</t>
    </rPh>
    <phoneticPr fontId="2"/>
  </si>
  <si>
    <t>日</t>
    <rPh sb="0" eb="1">
      <t>ニチ</t>
    </rPh>
    <phoneticPr fontId="2"/>
  </si>
  <si>
    <t>『入力シート』　へ転記される</t>
    <rPh sb="1" eb="3">
      <t>ニュウリョク</t>
    </rPh>
    <rPh sb="9" eb="11">
      <t>テンキ</t>
    </rPh>
    <phoneticPr fontId="2"/>
  </si>
  <si>
    <t>建国記念日</t>
    <rPh sb="0" eb="2">
      <t>ケンコク</t>
    </rPh>
    <rPh sb="2" eb="5">
      <t>キネンビ</t>
    </rPh>
    <phoneticPr fontId="2"/>
  </si>
  <si>
    <t>〃</t>
    <phoneticPr fontId="2"/>
  </si>
  <si>
    <t>昭和の日（旧：みどりの日）</t>
    <rPh sb="0" eb="2">
      <t>ショウワ</t>
    </rPh>
    <rPh sb="3" eb="4">
      <t>ヒ</t>
    </rPh>
    <rPh sb="5" eb="6">
      <t>キュウ</t>
    </rPh>
    <rPh sb="11" eb="12">
      <t>ヒ</t>
    </rPh>
    <phoneticPr fontId="2"/>
  </si>
  <si>
    <t>憲法記念日</t>
    <rPh sb="0" eb="2">
      <t>ケンポウ</t>
    </rPh>
    <rPh sb="2" eb="4">
      <t>キネン</t>
    </rPh>
    <rPh sb="4" eb="5">
      <t>ビ</t>
    </rPh>
    <phoneticPr fontId="2"/>
  </si>
  <si>
    <t>みどりの日（旧：国民の休日）</t>
    <rPh sb="4" eb="5">
      <t>ヒ</t>
    </rPh>
    <rPh sb="6" eb="7">
      <t>キュウ</t>
    </rPh>
    <rPh sb="8" eb="10">
      <t>コクミン</t>
    </rPh>
    <rPh sb="11" eb="13">
      <t>キュウジツ</t>
    </rPh>
    <phoneticPr fontId="2"/>
  </si>
  <si>
    <t>子供の日</t>
    <rPh sb="0" eb="2">
      <t>コドモ</t>
    </rPh>
    <rPh sb="3" eb="4">
      <t>ヒ</t>
    </rPh>
    <phoneticPr fontId="2"/>
  </si>
  <si>
    <t>文化の日</t>
    <rPh sb="0" eb="2">
      <t>ブンカ</t>
    </rPh>
    <rPh sb="3" eb="4">
      <t>ヒ</t>
    </rPh>
    <phoneticPr fontId="2"/>
  </si>
  <si>
    <t>勤労感謝の日</t>
    <rPh sb="0" eb="2">
      <t>キンロウ</t>
    </rPh>
    <rPh sb="2" eb="4">
      <t>カンシャ</t>
    </rPh>
    <rPh sb="5" eb="6">
      <t>ヒ</t>
    </rPh>
    <phoneticPr fontId="2"/>
  </si>
  <si>
    <t>天皇誕生日</t>
    <rPh sb="0" eb="2">
      <t>テンノウ</t>
    </rPh>
    <rPh sb="2" eb="5">
      <t>タンジョウビ</t>
    </rPh>
    <phoneticPr fontId="2"/>
  </si>
  <si>
    <t>山の日</t>
    <rPh sb="0" eb="1">
      <t>ヤマ</t>
    </rPh>
    <rPh sb="2" eb="3">
      <t>ヒ</t>
    </rPh>
    <phoneticPr fontId="2"/>
  </si>
  <si>
    <t>※山の日は8月11日に固定されているが、オリンピック開催延期により2021年8月8日（日）が山の日となった。8月11日（水）は2021年に関しては平日となる。</t>
    <rPh sb="1" eb="2">
      <t>ヤマ</t>
    </rPh>
    <rPh sb="3" eb="4">
      <t>ヒ</t>
    </rPh>
    <rPh sb="6" eb="7">
      <t>ガツ</t>
    </rPh>
    <rPh sb="9" eb="10">
      <t>ニチ</t>
    </rPh>
    <rPh sb="11" eb="13">
      <t>コテイ</t>
    </rPh>
    <rPh sb="26" eb="28">
      <t>カイサイ</t>
    </rPh>
    <rPh sb="28" eb="30">
      <t>エンキ</t>
    </rPh>
    <rPh sb="37" eb="38">
      <t>ネン</t>
    </rPh>
    <rPh sb="39" eb="40">
      <t>ガツ</t>
    </rPh>
    <rPh sb="41" eb="42">
      <t>ニチ</t>
    </rPh>
    <rPh sb="43" eb="44">
      <t>ニチ</t>
    </rPh>
    <rPh sb="46" eb="47">
      <t>ヤマ</t>
    </rPh>
    <rPh sb="48" eb="49">
      <t>ヒ</t>
    </rPh>
    <rPh sb="55" eb="56">
      <t>ガツ</t>
    </rPh>
    <rPh sb="58" eb="59">
      <t>ニチ</t>
    </rPh>
    <rPh sb="60" eb="61">
      <t>スイ</t>
    </rPh>
    <rPh sb="67" eb="68">
      <t>ネン</t>
    </rPh>
    <rPh sb="69" eb="70">
      <t>カン</t>
    </rPh>
    <rPh sb="73" eb="75">
      <t>ヘイジツ</t>
    </rPh>
    <phoneticPr fontId="2"/>
  </si>
  <si>
    <t>【移動祝日】</t>
    <rPh sb="1" eb="3">
      <t>イドウ</t>
    </rPh>
    <rPh sb="3" eb="5">
      <t>シュクジツ</t>
    </rPh>
    <phoneticPr fontId="2"/>
  </si>
  <si>
    <t>成人の日</t>
    <rPh sb="0" eb="2">
      <t>セイジン</t>
    </rPh>
    <rPh sb="3" eb="4">
      <t>ヒ</t>
    </rPh>
    <phoneticPr fontId="2"/>
  </si>
  <si>
    <t>月</t>
    <rPh sb="0" eb="1">
      <t>ゲツ</t>
    </rPh>
    <phoneticPr fontId="2"/>
  </si>
  <si>
    <t>第2月曜</t>
    <rPh sb="0" eb="1">
      <t>ダイ</t>
    </rPh>
    <rPh sb="2" eb="4">
      <t>ゲツヨウ</t>
    </rPh>
    <phoneticPr fontId="2"/>
  </si>
  <si>
    <t>日</t>
    <rPh sb="0" eb="1">
      <t>ヒ</t>
    </rPh>
    <phoneticPr fontId="2"/>
  </si>
  <si>
    <t>海の日</t>
    <rPh sb="0" eb="1">
      <t>ウミ</t>
    </rPh>
    <rPh sb="2" eb="3">
      <t>ヒ</t>
    </rPh>
    <phoneticPr fontId="2"/>
  </si>
  <si>
    <t>第3月曜</t>
    <rPh sb="0" eb="1">
      <t>ダイ</t>
    </rPh>
    <rPh sb="2" eb="4">
      <t>ゲツヨウ</t>
    </rPh>
    <phoneticPr fontId="2"/>
  </si>
  <si>
    <t>※海の日は7月第三月曜日であるが、オリンピック開催延期により2021年7月22日（木）が海の日となった。</t>
    <rPh sb="1" eb="2">
      <t>ウミ</t>
    </rPh>
    <rPh sb="3" eb="4">
      <t>ヒ</t>
    </rPh>
    <rPh sb="6" eb="7">
      <t>ガツ</t>
    </rPh>
    <rPh sb="7" eb="9">
      <t>ダイサン</t>
    </rPh>
    <rPh sb="9" eb="12">
      <t>ゲツヨウビ</t>
    </rPh>
    <rPh sb="23" eb="25">
      <t>カイサイ</t>
    </rPh>
    <rPh sb="25" eb="27">
      <t>エンキ</t>
    </rPh>
    <rPh sb="34" eb="35">
      <t>ネン</t>
    </rPh>
    <rPh sb="36" eb="37">
      <t>ガツ</t>
    </rPh>
    <rPh sb="39" eb="40">
      <t>ニチ</t>
    </rPh>
    <rPh sb="41" eb="42">
      <t>モク</t>
    </rPh>
    <rPh sb="44" eb="45">
      <t>ウミ</t>
    </rPh>
    <rPh sb="46" eb="47">
      <t>ヒ</t>
    </rPh>
    <phoneticPr fontId="2"/>
  </si>
  <si>
    <t>敬老の日</t>
    <rPh sb="0" eb="2">
      <t>ケイロウ</t>
    </rPh>
    <rPh sb="3" eb="4">
      <t>ヒ</t>
    </rPh>
    <phoneticPr fontId="2"/>
  </si>
  <si>
    <t>スポーツの日</t>
    <rPh sb="5" eb="6">
      <t>ヒ</t>
    </rPh>
    <phoneticPr fontId="2"/>
  </si>
  <si>
    <t>※体育の日は2020年よりスポーツの日に名称変更、10月第二月曜日は変わらず。但し、オリンピック開催延期により2021年7月23日（金）がスポーツの日となった。</t>
    <rPh sb="1" eb="3">
      <t>タイイク</t>
    </rPh>
    <rPh sb="4" eb="5">
      <t>ヒ</t>
    </rPh>
    <rPh sb="10" eb="11">
      <t>ネン</t>
    </rPh>
    <rPh sb="18" eb="19">
      <t>ヒ</t>
    </rPh>
    <rPh sb="20" eb="22">
      <t>メイショウ</t>
    </rPh>
    <rPh sb="22" eb="24">
      <t>ヘンコウ</t>
    </rPh>
    <rPh sb="27" eb="28">
      <t>ガツ</t>
    </rPh>
    <rPh sb="28" eb="29">
      <t>ダイ</t>
    </rPh>
    <rPh sb="29" eb="30">
      <t>ニ</t>
    </rPh>
    <rPh sb="30" eb="33">
      <t>ゲツヨウビ</t>
    </rPh>
    <rPh sb="34" eb="35">
      <t>カ</t>
    </rPh>
    <rPh sb="39" eb="40">
      <t>タダ</t>
    </rPh>
    <rPh sb="48" eb="50">
      <t>カイサイ</t>
    </rPh>
    <rPh sb="66" eb="67">
      <t>キン</t>
    </rPh>
    <phoneticPr fontId="2"/>
  </si>
  <si>
    <t>【春分の日】</t>
    <rPh sb="1" eb="3">
      <t>シュンブン</t>
    </rPh>
    <rPh sb="4" eb="5">
      <t>ヒ</t>
    </rPh>
    <phoneticPr fontId="2"/>
  </si>
  <si>
    <r>
      <t>春分日</t>
    </r>
    <r>
      <rPr>
        <sz val="9"/>
        <rFont val="ＭＳ Ｐゴシック"/>
        <family val="3"/>
        <charset val="128"/>
      </rPr>
      <t>（官報による）</t>
    </r>
    <rPh sb="0" eb="2">
      <t>シュンブン</t>
    </rPh>
    <rPh sb="2" eb="3">
      <t>ビ</t>
    </rPh>
    <rPh sb="4" eb="6">
      <t>カンポウ</t>
    </rPh>
    <phoneticPr fontId="2"/>
  </si>
  <si>
    <t>【秋分の日】</t>
    <rPh sb="1" eb="3">
      <t>シュウブン</t>
    </rPh>
    <rPh sb="4" eb="5">
      <t>ヒ</t>
    </rPh>
    <phoneticPr fontId="2"/>
  </si>
  <si>
    <r>
      <t>秋分日</t>
    </r>
    <r>
      <rPr>
        <sz val="9"/>
        <rFont val="ＭＳ Ｐゴシック"/>
        <family val="3"/>
        <charset val="128"/>
      </rPr>
      <t>（官報による）</t>
    </r>
    <rPh sb="0" eb="2">
      <t>シュウブン</t>
    </rPh>
    <rPh sb="2" eb="3">
      <t>ビ</t>
    </rPh>
    <rPh sb="4" eb="6">
      <t>カンポウ</t>
    </rPh>
    <phoneticPr fontId="2"/>
  </si>
  <si>
    <t>振替休日</t>
    <phoneticPr fontId="2"/>
  </si>
  <si>
    <t>※オリンピック開催延期により2021年7月22日（木）が海の日となったためこの欄を利用して対応する。</t>
    <rPh sb="7" eb="9">
      <t>カイサイ</t>
    </rPh>
    <rPh sb="39" eb="40">
      <t>ラン</t>
    </rPh>
    <rPh sb="41" eb="43">
      <t>リヨウ</t>
    </rPh>
    <rPh sb="45" eb="47">
      <t>タイオウ</t>
    </rPh>
    <phoneticPr fontId="2"/>
  </si>
  <si>
    <t>振替休日</t>
  </si>
  <si>
    <t>※オリンピック開催延期により2021年7月23日（金）がスポーツの日となったためこの欄を利用して対応する。</t>
    <rPh sb="7" eb="9">
      <t>カイサイ</t>
    </rPh>
    <rPh sb="42" eb="43">
      <t>ラン</t>
    </rPh>
    <rPh sb="44" eb="46">
      <t>リヨウ</t>
    </rPh>
    <rPh sb="48" eb="50">
      <t>タイオウ</t>
    </rPh>
    <phoneticPr fontId="2"/>
  </si>
  <si>
    <t>※オリンピック開催延期により2021年8月8日（日）が山の日となったため8月9日（月）が振替休日となる。</t>
    <rPh sb="7" eb="9">
      <t>カイサイ</t>
    </rPh>
    <rPh sb="9" eb="11">
      <t>エンキ</t>
    </rPh>
    <rPh sb="18" eb="19">
      <t>ネン</t>
    </rPh>
    <rPh sb="20" eb="21">
      <t>ガツ</t>
    </rPh>
    <rPh sb="22" eb="23">
      <t>ニチ</t>
    </rPh>
    <rPh sb="24" eb="25">
      <t>ニチ</t>
    </rPh>
    <rPh sb="27" eb="28">
      <t>ヤマ</t>
    </rPh>
    <rPh sb="29" eb="30">
      <t>ヒ</t>
    </rPh>
    <rPh sb="37" eb="38">
      <t>ガツ</t>
    </rPh>
    <rPh sb="39" eb="40">
      <t>ニチ</t>
    </rPh>
    <rPh sb="41" eb="42">
      <t>ゲツ</t>
    </rPh>
    <rPh sb="44" eb="46">
      <t>フリカエ</t>
    </rPh>
    <rPh sb="46" eb="48">
      <t>キュウジツ</t>
    </rPh>
    <phoneticPr fontId="2"/>
  </si>
  <si>
    <t>　※『国民の祝日に関する法律』上の振替休日である</t>
    <rPh sb="3" eb="5">
      <t>コクミン</t>
    </rPh>
    <rPh sb="6" eb="8">
      <t>シュクジツ</t>
    </rPh>
    <rPh sb="9" eb="10">
      <t>カン</t>
    </rPh>
    <rPh sb="12" eb="14">
      <t>ホウリツ</t>
    </rPh>
    <rPh sb="15" eb="16">
      <t>ジョウ</t>
    </rPh>
    <rPh sb="17" eb="19">
      <t>フリカエ</t>
    </rPh>
    <rPh sb="19" eb="21">
      <t>キュウジツ</t>
    </rPh>
    <phoneticPr fontId="2"/>
  </si>
  <si>
    <t>国民の休日</t>
    <rPh sb="0" eb="2">
      <t>コクミン</t>
    </rPh>
    <rPh sb="3" eb="5">
      <t>キュウジツ</t>
    </rPh>
    <phoneticPr fontId="2"/>
  </si>
  <si>
    <t>祝日と祝日に挟まれた日は国民の休日となるため</t>
    <rPh sb="0" eb="2">
      <t>シュクジツ</t>
    </rPh>
    <rPh sb="3" eb="5">
      <t>シュクジツ</t>
    </rPh>
    <rPh sb="6" eb="7">
      <t>ハサ</t>
    </rPh>
    <rPh sb="10" eb="11">
      <t>ヒ</t>
    </rPh>
    <rPh sb="12" eb="14">
      <t>コクミン</t>
    </rPh>
    <rPh sb="15" eb="17">
      <t>キュウジツ</t>
    </rPh>
    <phoneticPr fontId="2"/>
  </si>
  <si>
    <t>当該日についてこの欄で対応すること。</t>
    <rPh sb="0" eb="2">
      <t>トウガイ</t>
    </rPh>
    <rPh sb="2" eb="3">
      <t>ヒ</t>
    </rPh>
    <rPh sb="9" eb="10">
      <t>ラン</t>
    </rPh>
    <rPh sb="11" eb="13">
      <t>タイオウ</t>
    </rPh>
    <phoneticPr fontId="2"/>
  </si>
  <si>
    <r>
      <t>　※就業規則上の休日＝夏季休暇（7-9月の間に3日間（取得できなかった場合は無効））、冬季休暇（12/30-1/3）</t>
    </r>
    <r>
      <rPr>
        <sz val="9"/>
        <color indexed="10"/>
        <rFont val="ＭＳ Ｐゴシック"/>
        <family val="3"/>
        <charset val="128"/>
      </rPr>
      <t/>
    </r>
    <rPh sb="2" eb="4">
      <t>シュウギョウ</t>
    </rPh>
    <rPh sb="4" eb="6">
      <t>キソク</t>
    </rPh>
    <rPh sb="6" eb="7">
      <t>ジョウ</t>
    </rPh>
    <rPh sb="8" eb="10">
      <t>キュウジツ</t>
    </rPh>
    <rPh sb="11" eb="13">
      <t>カキ</t>
    </rPh>
    <rPh sb="13" eb="15">
      <t>キュウカ</t>
    </rPh>
    <rPh sb="19" eb="20">
      <t>ガツ</t>
    </rPh>
    <rPh sb="21" eb="22">
      <t>アイダ</t>
    </rPh>
    <rPh sb="24" eb="25">
      <t>ニチ</t>
    </rPh>
    <rPh sb="25" eb="26">
      <t>アイダ</t>
    </rPh>
    <rPh sb="27" eb="29">
      <t>シュトク</t>
    </rPh>
    <rPh sb="35" eb="37">
      <t>バアイ</t>
    </rPh>
    <rPh sb="38" eb="40">
      <t>ムコウ</t>
    </rPh>
    <rPh sb="43" eb="45">
      <t>トウキ</t>
    </rPh>
    <rPh sb="45" eb="47">
      <t>キュウカ</t>
    </rPh>
    <phoneticPr fontId="2"/>
  </si>
  <si>
    <t>　　➡これらについては要出勤日に計上した上で有給休暇同様、休暇により労働しなかった日として扱う。</t>
    <rPh sb="11" eb="12">
      <t>ヨウ</t>
    </rPh>
    <rPh sb="12" eb="15">
      <t>シュッキンビ</t>
    </rPh>
    <rPh sb="16" eb="18">
      <t>ケイジョウ</t>
    </rPh>
    <rPh sb="20" eb="21">
      <t>ウエ</t>
    </rPh>
    <rPh sb="22" eb="24">
      <t>ユウキュウ</t>
    </rPh>
    <rPh sb="24" eb="26">
      <t>キュウカ</t>
    </rPh>
    <rPh sb="26" eb="28">
      <t>ドウヨウ</t>
    </rPh>
    <rPh sb="29" eb="31">
      <t>キュウカ</t>
    </rPh>
    <rPh sb="34" eb="36">
      <t>ロウドウ</t>
    </rPh>
    <rPh sb="41" eb="42">
      <t>ヒ</t>
    </rPh>
    <rPh sb="45" eb="46">
      <t>アツカ</t>
    </rPh>
    <phoneticPr fontId="2"/>
  </si>
  <si>
    <t>天皇誕生日は12月23日、つまり給与計算期間の締めが20日だろうと15日だろうと</t>
  </si>
  <si>
    <t>翌年1月の給与計算において現れる日付である。</t>
  </si>
  <si>
    <t>よって入力シートのDI9セル（作業セル）で天皇誕生日を計算する場合には</t>
  </si>
  <si>
    <t>『前年』の天皇誕生日として計算しなければならない。</t>
  </si>
  <si>
    <t>年</t>
    <rPh sb="0" eb="1">
      <t>ネン</t>
    </rPh>
    <phoneticPr fontId="2"/>
  </si>
  <si>
    <t>氏名</t>
    <rPh sb="0" eb="2">
      <t>シメイ</t>
    </rPh>
    <phoneticPr fontId="2"/>
  </si>
  <si>
    <t>所定稼動</t>
    <rPh sb="0" eb="2">
      <t>ショテイ</t>
    </rPh>
    <rPh sb="2" eb="4">
      <t>カドウ</t>
    </rPh>
    <phoneticPr fontId="2"/>
  </si>
  <si>
    <t>所定始業</t>
    <rPh sb="0" eb="2">
      <t>ショテイ</t>
    </rPh>
    <rPh sb="2" eb="4">
      <t>シギョウ</t>
    </rPh>
    <phoneticPr fontId="2"/>
  </si>
  <si>
    <t>作業場所</t>
    <rPh sb="0" eb="2">
      <t>サギョウ</t>
    </rPh>
    <rPh sb="2" eb="4">
      <t>バショ</t>
    </rPh>
    <phoneticPr fontId="2"/>
  </si>
  <si>
    <t>所属</t>
    <rPh sb="0" eb="2">
      <t>ショゾク</t>
    </rPh>
    <phoneticPr fontId="2"/>
  </si>
  <si>
    <t>印刷ｼｰﾄ遅早へ</t>
    <rPh sb="0" eb="2">
      <t>インサツ</t>
    </rPh>
    <rPh sb="5" eb="7">
      <t>チソウ</t>
    </rPh>
    <phoneticPr fontId="2"/>
  </si>
  <si>
    <t>役職</t>
    <rPh sb="0" eb="2">
      <t>ヤクショク</t>
    </rPh>
    <phoneticPr fontId="2"/>
  </si>
  <si>
    <t>就業形態</t>
    <rPh sb="0" eb="2">
      <t>シュウギョウ</t>
    </rPh>
    <rPh sb="2" eb="4">
      <t>ケイタイ</t>
    </rPh>
    <phoneticPr fontId="2"/>
  </si>
  <si>
    <t>作業セル（各勤怠項目の集計）</t>
    <rPh sb="0" eb="2">
      <t>サギョウ</t>
    </rPh>
    <rPh sb="5" eb="6">
      <t>カク</t>
    </rPh>
    <rPh sb="6" eb="8">
      <t>キンタイ</t>
    </rPh>
    <rPh sb="8" eb="10">
      <t>コウモク</t>
    </rPh>
    <rPh sb="11" eb="13">
      <t>シュウケイ</t>
    </rPh>
    <phoneticPr fontId="2"/>
  </si>
  <si>
    <t>第1休憩</t>
    <rPh sb="0" eb="1">
      <t>ダイ</t>
    </rPh>
    <rPh sb="2" eb="4">
      <t>キュウケイ</t>
    </rPh>
    <phoneticPr fontId="2"/>
  </si>
  <si>
    <t>第2休憩</t>
    <rPh sb="0" eb="1">
      <t>ダイ</t>
    </rPh>
    <rPh sb="2" eb="4">
      <t>キュウケイ</t>
    </rPh>
    <phoneticPr fontId="2"/>
  </si>
  <si>
    <t>第3休憩</t>
    <rPh sb="0" eb="1">
      <t>ダイ</t>
    </rPh>
    <rPh sb="2" eb="4">
      <t>キュウケイ</t>
    </rPh>
    <phoneticPr fontId="2"/>
  </si>
  <si>
    <t>第4休憩</t>
    <rPh sb="0" eb="1">
      <t>ダイ</t>
    </rPh>
    <rPh sb="2" eb="4">
      <t>キュウケイ</t>
    </rPh>
    <phoneticPr fontId="2"/>
  </si>
  <si>
    <t>第5休憩</t>
    <rPh sb="0" eb="1">
      <t>ダイ</t>
    </rPh>
    <rPh sb="2" eb="4">
      <t>キュウケイ</t>
    </rPh>
    <phoneticPr fontId="2"/>
  </si>
  <si>
    <t>取得休憩時間</t>
    <rPh sb="0" eb="2">
      <t>シュトク</t>
    </rPh>
    <rPh sb="2" eb="4">
      <t>キュウケイ</t>
    </rPh>
    <rPh sb="4" eb="6">
      <t>ジカン</t>
    </rPh>
    <phoneticPr fontId="2"/>
  </si>
  <si>
    <t>【西暦】</t>
    <rPh sb="1" eb="3">
      <t>セイレキ</t>
    </rPh>
    <phoneticPr fontId="2"/>
  </si>
  <si>
    <t>【月度】</t>
    <rPh sb="1" eb="2">
      <t>ゲツ</t>
    </rPh>
    <rPh sb="2" eb="3">
      <t>ド</t>
    </rPh>
    <phoneticPr fontId="2"/>
  </si>
  <si>
    <t>【作業フェーズ】</t>
    <rPh sb="1" eb="3">
      <t>サギョウ</t>
    </rPh>
    <phoneticPr fontId="2"/>
  </si>
  <si>
    <t>【勤怠】</t>
    <rPh sb="1" eb="3">
      <t>キンタイ</t>
    </rPh>
    <phoneticPr fontId="2"/>
  </si>
  <si>
    <t>←</t>
    <phoneticPr fontId="2"/>
  </si>
  <si>
    <t>【移動祝日の計算】</t>
    <rPh sb="1" eb="3">
      <t>イドウ</t>
    </rPh>
    <rPh sb="3" eb="5">
      <t>シュクジツ</t>
    </rPh>
    <rPh sb="6" eb="8">
      <t>ケイサン</t>
    </rPh>
    <phoneticPr fontId="2"/>
  </si>
  <si>
    <t>[超過] 割込業務が発生した</t>
    <rPh sb="5" eb="7">
      <t>ワリコ</t>
    </rPh>
    <rPh sb="7" eb="9">
      <t>ギョウム</t>
    </rPh>
    <rPh sb="10" eb="12">
      <t>ハッセイ</t>
    </rPh>
    <phoneticPr fontId="2"/>
  </si>
  <si>
    <t>中村 知義</t>
    <rPh sb="0" eb="2">
      <t>ナカムラ</t>
    </rPh>
    <rPh sb="3" eb="5">
      <t>トモヨシ</t>
    </rPh>
    <phoneticPr fontId="2"/>
  </si>
  <si>
    <t>矢崎総業（株）内</t>
    <rPh sb="0" eb="2">
      <t>ヤザキ</t>
    </rPh>
    <rPh sb="2" eb="4">
      <t>ソウギョウ</t>
    </rPh>
    <rPh sb="5" eb="6">
      <t>カブ</t>
    </rPh>
    <rPh sb="7" eb="8">
      <t>ナイ</t>
    </rPh>
    <phoneticPr fontId="2"/>
  </si>
  <si>
    <t>ｼｽﾃﾑ開発部</t>
    <rPh sb="4" eb="6">
      <t>カイハツ</t>
    </rPh>
    <rPh sb="6" eb="7">
      <t>ブ</t>
    </rPh>
    <phoneticPr fontId="2"/>
  </si>
  <si>
    <t>↑</t>
    <phoneticPr fontId="2"/>
  </si>
  <si>
    <t>無し</t>
    <rPh sb="0" eb="1">
      <t>ナ</t>
    </rPh>
    <phoneticPr fontId="2"/>
  </si>
  <si>
    <t>常用雇用</t>
  </si>
  <si>
    <t>上司許可</t>
    <rPh sb="0" eb="2">
      <t>ジョウシ</t>
    </rPh>
    <rPh sb="2" eb="4">
      <t>キョカ</t>
    </rPh>
    <phoneticPr fontId="2"/>
  </si>
  <si>
    <t>（注）遅刻及び早退のカウント数はあくまでも勤怠報告欄に入力された遅刻及び早退をカウントしたものであって、シフト勤務をしたものの</t>
    <rPh sb="1" eb="2">
      <t>チュウ</t>
    </rPh>
    <rPh sb="3" eb="5">
      <t>チコク</t>
    </rPh>
    <rPh sb="5" eb="6">
      <t>オヨ</t>
    </rPh>
    <rPh sb="7" eb="9">
      <t>ソウタイ</t>
    </rPh>
    <rPh sb="14" eb="15">
      <t>カズ</t>
    </rPh>
    <rPh sb="21" eb="23">
      <t>キンタイ</t>
    </rPh>
    <rPh sb="23" eb="25">
      <t>ホウコク</t>
    </rPh>
    <rPh sb="25" eb="26">
      <t>ラン</t>
    </rPh>
    <rPh sb="27" eb="29">
      <t>ニュウリョク</t>
    </rPh>
    <rPh sb="32" eb="34">
      <t>チコク</t>
    </rPh>
    <rPh sb="34" eb="35">
      <t>オヨ</t>
    </rPh>
    <rPh sb="36" eb="38">
      <t>ソウタイ</t>
    </rPh>
    <rPh sb="55" eb="57">
      <t>キンム</t>
    </rPh>
    <phoneticPr fontId="2"/>
  </si>
  <si>
    <t>実際取得第1休憩時間の計算</t>
    <rPh sb="0" eb="2">
      <t>ジッサイ</t>
    </rPh>
    <rPh sb="2" eb="4">
      <t>シュトク</t>
    </rPh>
    <rPh sb="4" eb="5">
      <t>ダイ</t>
    </rPh>
    <rPh sb="6" eb="8">
      <t>キュウケイ</t>
    </rPh>
    <rPh sb="8" eb="10">
      <t>ジカン</t>
    </rPh>
    <rPh sb="11" eb="13">
      <t>ケイサン</t>
    </rPh>
    <phoneticPr fontId="2"/>
  </si>
  <si>
    <t>実際取得第2休憩時間の計算</t>
    <rPh sb="0" eb="2">
      <t>ジッサイ</t>
    </rPh>
    <rPh sb="2" eb="4">
      <t>シュトク</t>
    </rPh>
    <rPh sb="4" eb="5">
      <t>ダイ</t>
    </rPh>
    <rPh sb="6" eb="8">
      <t>キュウケイ</t>
    </rPh>
    <rPh sb="8" eb="10">
      <t>ジカン</t>
    </rPh>
    <rPh sb="11" eb="13">
      <t>ケイサン</t>
    </rPh>
    <phoneticPr fontId="2"/>
  </si>
  <si>
    <t>実際取得第3休憩時間の計算</t>
    <rPh sb="0" eb="2">
      <t>ジッサイ</t>
    </rPh>
    <rPh sb="2" eb="4">
      <t>シュトク</t>
    </rPh>
    <rPh sb="4" eb="5">
      <t>ダイ</t>
    </rPh>
    <rPh sb="6" eb="8">
      <t>キュウケイ</t>
    </rPh>
    <rPh sb="8" eb="10">
      <t>ジカン</t>
    </rPh>
    <rPh sb="11" eb="13">
      <t>ケイサン</t>
    </rPh>
    <phoneticPr fontId="2"/>
  </si>
  <si>
    <t>実際取得第4休憩時間の計算</t>
    <rPh sb="0" eb="2">
      <t>ジッサイ</t>
    </rPh>
    <rPh sb="2" eb="4">
      <t>シュトク</t>
    </rPh>
    <rPh sb="4" eb="5">
      <t>ダイ</t>
    </rPh>
    <rPh sb="6" eb="8">
      <t>キュウケイ</t>
    </rPh>
    <rPh sb="8" eb="10">
      <t>ジカン</t>
    </rPh>
    <rPh sb="11" eb="13">
      <t>ケイサン</t>
    </rPh>
    <phoneticPr fontId="2"/>
  </si>
  <si>
    <t>実際取得第5休憩時間の計算</t>
    <rPh sb="0" eb="2">
      <t>ジッサイ</t>
    </rPh>
    <rPh sb="2" eb="4">
      <t>シュトク</t>
    </rPh>
    <rPh sb="4" eb="5">
      <t>ダイ</t>
    </rPh>
    <rPh sb="6" eb="8">
      <t>キュウケイ</t>
    </rPh>
    <rPh sb="8" eb="10">
      <t>ジカン</t>
    </rPh>
    <rPh sb="11" eb="13">
      <t>ケイサン</t>
    </rPh>
    <phoneticPr fontId="2"/>
  </si>
  <si>
    <t>設計</t>
    <rPh sb="0" eb="2">
      <t>セッケイ</t>
    </rPh>
    <phoneticPr fontId="2"/>
  </si>
  <si>
    <t>有給休暇</t>
    <rPh sb="0" eb="2">
      <t>ユウキュウ</t>
    </rPh>
    <rPh sb="2" eb="4">
      <t>キュウカ</t>
    </rPh>
    <phoneticPr fontId="2"/>
  </si>
  <si>
    <t>【要稼働日数の計算】</t>
    <rPh sb="1" eb="2">
      <t>ヨウ</t>
    </rPh>
    <rPh sb="2" eb="4">
      <t>カドウ</t>
    </rPh>
    <rPh sb="4" eb="6">
      <t>ニッスウ</t>
    </rPh>
    <rPh sb="7" eb="9">
      <t>ケイサン</t>
    </rPh>
    <phoneticPr fontId="2"/>
  </si>
  <si>
    <t>[超過] 想定外の業務が発生した</t>
    <rPh sb="1" eb="3">
      <t>チョウカ</t>
    </rPh>
    <rPh sb="5" eb="7">
      <t>ソウテイ</t>
    </rPh>
    <rPh sb="7" eb="8">
      <t>ガイ</t>
    </rPh>
    <rPh sb="9" eb="11">
      <t>ギョウム</t>
    </rPh>
    <rPh sb="12" eb="14">
      <t>ハッセイ</t>
    </rPh>
    <phoneticPr fontId="2"/>
  </si>
  <si>
    <t>時刻</t>
    <rPh sb="0" eb="2">
      <t>ジコク</t>
    </rPh>
    <phoneticPr fontId="2"/>
  </si>
  <si>
    <t>A</t>
    <phoneticPr fontId="2"/>
  </si>
  <si>
    <t>B</t>
    <phoneticPr fontId="2"/>
  </si>
  <si>
    <t>A-B</t>
    <phoneticPr fontId="2"/>
  </si>
  <si>
    <t>遅刻・早退</t>
    <rPh sb="0" eb="2">
      <t>チコク</t>
    </rPh>
    <rPh sb="3" eb="5">
      <t>ソウタイ</t>
    </rPh>
    <phoneticPr fontId="2"/>
  </si>
  <si>
    <t>残業時間</t>
    <rPh sb="0" eb="2">
      <t>ザンギョウ</t>
    </rPh>
    <rPh sb="2" eb="4">
      <t>ジカン</t>
    </rPh>
    <phoneticPr fontId="2"/>
  </si>
  <si>
    <t>遅早免除</t>
    <rPh sb="0" eb="2">
      <t>チソウ</t>
    </rPh>
    <rPh sb="2" eb="4">
      <t>メンジョ</t>
    </rPh>
    <phoneticPr fontId="2"/>
  </si>
  <si>
    <t>勤怠</t>
    <rPh sb="0" eb="2">
      <t>キンタイ</t>
    </rPh>
    <phoneticPr fontId="2"/>
  </si>
  <si>
    <t>実働時間が不足したため早退扱いになったり、定例会出席日に遅刻したようなケースは除外されているので、別途計算させている。</t>
    <rPh sb="0" eb="2">
      <t>ジツドウ</t>
    </rPh>
    <rPh sb="2" eb="4">
      <t>ジカン</t>
    </rPh>
    <rPh sb="5" eb="7">
      <t>フソク</t>
    </rPh>
    <rPh sb="11" eb="13">
      <t>ソウタイ</t>
    </rPh>
    <rPh sb="13" eb="14">
      <t>アツカ</t>
    </rPh>
    <rPh sb="21" eb="24">
      <t>テイレイカイ</t>
    </rPh>
    <rPh sb="24" eb="26">
      <t>シュッセキ</t>
    </rPh>
    <rPh sb="26" eb="27">
      <t>ビ</t>
    </rPh>
    <rPh sb="28" eb="30">
      <t>チコク</t>
    </rPh>
    <rPh sb="39" eb="41">
      <t>ジョガイ</t>
    </rPh>
    <rPh sb="49" eb="51">
      <t>ベット</t>
    </rPh>
    <rPh sb="51" eb="53">
      <t>ケイサン</t>
    </rPh>
    <phoneticPr fontId="2"/>
  </si>
  <si>
    <t>作業フェーズ</t>
    <rPh sb="0" eb="2">
      <t>サギョウ</t>
    </rPh>
    <phoneticPr fontId="2"/>
  </si>
  <si>
    <t>付記</t>
    <rPh sb="0" eb="2">
      <t>フキ</t>
    </rPh>
    <phoneticPr fontId="2"/>
  </si>
  <si>
    <t>開始時刻</t>
    <rPh sb="0" eb="2">
      <t>カイシ</t>
    </rPh>
    <rPh sb="2" eb="4">
      <t>ジコク</t>
    </rPh>
    <phoneticPr fontId="2"/>
  </si>
  <si>
    <t>終了時刻</t>
    <rPh sb="0" eb="2">
      <t>シュウリョウ</t>
    </rPh>
    <rPh sb="2" eb="4">
      <t>ジコク</t>
    </rPh>
    <phoneticPr fontId="2"/>
  </si>
  <si>
    <t>深夜判定</t>
    <rPh sb="0" eb="2">
      <t>シンヤ</t>
    </rPh>
    <rPh sb="2" eb="4">
      <t>ハンテイ</t>
    </rPh>
    <phoneticPr fontId="2"/>
  </si>
  <si>
    <t>所定休憩時間の内訳</t>
    <rPh sb="0" eb="2">
      <t>ショテイ</t>
    </rPh>
    <rPh sb="2" eb="4">
      <t>キュウケイ</t>
    </rPh>
    <rPh sb="4" eb="6">
      <t>ジカン</t>
    </rPh>
    <rPh sb="7" eb="9">
      <t>ウチワケ</t>
    </rPh>
    <phoneticPr fontId="2"/>
  </si>
  <si>
    <t>休憩 開始 時刻と出退社時刻について判定</t>
    <rPh sb="0" eb="2">
      <t>キュウケイ</t>
    </rPh>
    <rPh sb="3" eb="5">
      <t>カイシ</t>
    </rPh>
    <rPh sb="6" eb="8">
      <t>ジコク</t>
    </rPh>
    <rPh sb="9" eb="12">
      <t>シュッタイシャ</t>
    </rPh>
    <rPh sb="12" eb="14">
      <t>ジコク</t>
    </rPh>
    <rPh sb="18" eb="20">
      <t>ハンテイ</t>
    </rPh>
    <phoneticPr fontId="2"/>
  </si>
  <si>
    <t>休憩 終了 時刻と出退社時刻について判定</t>
    <rPh sb="0" eb="2">
      <t>キュウケイ</t>
    </rPh>
    <rPh sb="3" eb="5">
      <t>シュウリョウ</t>
    </rPh>
    <rPh sb="6" eb="8">
      <t>ジコク</t>
    </rPh>
    <rPh sb="9" eb="12">
      <t>シュッタイシャ</t>
    </rPh>
    <rPh sb="12" eb="14">
      <t>ジコク</t>
    </rPh>
    <rPh sb="18" eb="20">
      <t>ハンテイ</t>
    </rPh>
    <phoneticPr fontId="2"/>
  </si>
  <si>
    <t>製造</t>
    <rPh sb="0" eb="2">
      <t>セイゾウ</t>
    </rPh>
    <phoneticPr fontId="2"/>
  </si>
  <si>
    <t>午前半休</t>
    <rPh sb="0" eb="2">
      <t>ゴゼン</t>
    </rPh>
    <rPh sb="2" eb="4">
      <t>ハンキュウ</t>
    </rPh>
    <phoneticPr fontId="2"/>
  </si>
  <si>
    <t>[超過] 工数を過少に見積ってしまった</t>
    <rPh sb="5" eb="7">
      <t>コウスウ</t>
    </rPh>
    <rPh sb="8" eb="10">
      <t>カショウ</t>
    </rPh>
    <rPh sb="11" eb="13">
      <t>ミツモ</t>
    </rPh>
    <phoneticPr fontId="2"/>
  </si>
  <si>
    <t>日付</t>
    <rPh sb="0" eb="2">
      <t>ヒヅケ</t>
    </rPh>
    <phoneticPr fontId="2"/>
  </si>
  <si>
    <t>曜日</t>
    <rPh sb="0" eb="2">
      <t>ヨウビ</t>
    </rPh>
    <phoneticPr fontId="2"/>
  </si>
  <si>
    <t>祝日</t>
    <rPh sb="0" eb="2">
      <t>シュクジツ</t>
    </rPh>
    <phoneticPr fontId="2"/>
  </si>
  <si>
    <t>ﾀｲﾑｶｰﾄﾞ</t>
    <phoneticPr fontId="2"/>
  </si>
  <si>
    <t>拘束時間</t>
    <rPh sb="0" eb="2">
      <t>コウソク</t>
    </rPh>
    <rPh sb="2" eb="4">
      <t>ジカン</t>
    </rPh>
    <phoneticPr fontId="2"/>
  </si>
  <si>
    <t>休憩時間</t>
    <rPh sb="0" eb="2">
      <t>キュウケイ</t>
    </rPh>
    <rPh sb="2" eb="4">
      <t>ジカン</t>
    </rPh>
    <phoneticPr fontId="2"/>
  </si>
  <si>
    <t>実働時間</t>
    <rPh sb="0" eb="2">
      <t>ジツドウ</t>
    </rPh>
    <rPh sb="2" eb="4">
      <t>ジカン</t>
    </rPh>
    <phoneticPr fontId="2"/>
  </si>
  <si>
    <t>時間確定</t>
    <rPh sb="0" eb="2">
      <t>ジカン</t>
    </rPh>
    <rPh sb="2" eb="4">
      <t>カクテイ</t>
    </rPh>
    <phoneticPr fontId="2"/>
  </si>
  <si>
    <t>合計</t>
    <rPh sb="0" eb="2">
      <t>ゴウケイ</t>
    </rPh>
    <phoneticPr fontId="2"/>
  </si>
  <si>
    <t>内深夜</t>
    <rPh sb="0" eb="1">
      <t>ウチ</t>
    </rPh>
    <rPh sb="1" eb="3">
      <t>シンヤ</t>
    </rPh>
    <phoneticPr fontId="2"/>
  </si>
  <si>
    <t>差引普通</t>
    <rPh sb="0" eb="2">
      <t>サシヒキ</t>
    </rPh>
    <rPh sb="2" eb="4">
      <t>フツウ</t>
    </rPh>
    <phoneticPr fontId="2"/>
  </si>
  <si>
    <t>（"1"を選択）</t>
    <rPh sb="5" eb="7">
      <t>センタク</t>
    </rPh>
    <phoneticPr fontId="2"/>
  </si>
  <si>
    <t>報告欄</t>
    <rPh sb="0" eb="2">
      <t>ホウコク</t>
    </rPh>
    <rPh sb="2" eb="3">
      <t>ラン</t>
    </rPh>
    <phoneticPr fontId="2"/>
  </si>
  <si>
    <t>全休</t>
    <rPh sb="0" eb="2">
      <t>ゼンキュウ</t>
    </rPh>
    <phoneticPr fontId="2"/>
  </si>
  <si>
    <t>AM/PM半休</t>
    <rPh sb="5" eb="7">
      <t>ハンキュウ</t>
    </rPh>
    <phoneticPr fontId="2"/>
  </si>
  <si>
    <t>休日出勤</t>
    <rPh sb="0" eb="2">
      <t>キュウジツ</t>
    </rPh>
    <rPh sb="2" eb="4">
      <t>シュッキン</t>
    </rPh>
    <phoneticPr fontId="2"/>
  </si>
  <si>
    <t>振替休日</t>
    <rPh sb="0" eb="2">
      <t>フリカエ</t>
    </rPh>
    <rPh sb="2" eb="4">
      <t>キュウジツ</t>
    </rPh>
    <phoneticPr fontId="2"/>
  </si>
  <si>
    <t>遅刻</t>
    <rPh sb="0" eb="2">
      <t>チコク</t>
    </rPh>
    <phoneticPr fontId="2"/>
  </si>
  <si>
    <t>早退</t>
    <rPh sb="0" eb="2">
      <t>ソウタイ</t>
    </rPh>
    <phoneticPr fontId="2"/>
  </si>
  <si>
    <t>欠勤</t>
    <rPh sb="0" eb="2">
      <t>ケッキン</t>
    </rPh>
    <phoneticPr fontId="2"/>
  </si>
  <si>
    <t>シフト勤務</t>
    <rPh sb="3" eb="5">
      <t>キンム</t>
    </rPh>
    <phoneticPr fontId="2"/>
  </si>
  <si>
    <t>定例会</t>
    <rPh sb="0" eb="3">
      <t>テイレイカイ</t>
    </rPh>
    <phoneticPr fontId="2"/>
  </si>
  <si>
    <t>夏季休暇</t>
    <rPh sb="0" eb="2">
      <t>カキ</t>
    </rPh>
    <rPh sb="2" eb="4">
      <t>キュウカ</t>
    </rPh>
    <phoneticPr fontId="2"/>
  </si>
  <si>
    <t>冬季休暇</t>
    <rPh sb="0" eb="2">
      <t>トウキ</t>
    </rPh>
    <rPh sb="2" eb="4">
      <t>キュウカ</t>
    </rPh>
    <phoneticPr fontId="2"/>
  </si>
  <si>
    <t>特別休暇</t>
    <rPh sb="0" eb="2">
      <t>トクベツ</t>
    </rPh>
    <rPh sb="2" eb="4">
      <t>キュウカ</t>
    </rPh>
    <phoneticPr fontId="2"/>
  </si>
  <si>
    <t>自宅待機</t>
    <rPh sb="0" eb="2">
      <t>ジタク</t>
    </rPh>
    <rPh sb="2" eb="4">
      <t>タイキ</t>
    </rPh>
    <phoneticPr fontId="2"/>
  </si>
  <si>
    <t>入力</t>
    <rPh sb="0" eb="2">
      <t>ニュウリョク</t>
    </rPh>
    <phoneticPr fontId="2"/>
  </si>
  <si>
    <t>（総務への連絡事項等）</t>
    <rPh sb="1" eb="3">
      <t>ソウム</t>
    </rPh>
    <rPh sb="5" eb="7">
      <t>レンラク</t>
    </rPh>
    <rPh sb="7" eb="9">
      <t>ジコウ</t>
    </rPh>
    <rPh sb="9" eb="10">
      <t>トウ</t>
    </rPh>
    <phoneticPr fontId="2"/>
  </si>
  <si>
    <t>合計時間</t>
    <rPh sb="0" eb="2">
      <t>ゴウケイ</t>
    </rPh>
    <rPh sb="2" eb="4">
      <t>ジカン</t>
    </rPh>
    <phoneticPr fontId="2"/>
  </si>
  <si>
    <t>内、深夜外</t>
    <rPh sb="0" eb="1">
      <t>ウチ</t>
    </rPh>
    <rPh sb="2" eb="4">
      <t>シンヤ</t>
    </rPh>
    <rPh sb="4" eb="5">
      <t>ガイ</t>
    </rPh>
    <phoneticPr fontId="2"/>
  </si>
  <si>
    <t>深夜</t>
    <rPh sb="0" eb="2">
      <t>シンヤ</t>
    </rPh>
    <phoneticPr fontId="2"/>
  </si>
  <si>
    <t>その出社時刻で
取り得る休憩⇒1</t>
    <rPh sb="2" eb="4">
      <t>シュッシャ</t>
    </rPh>
    <rPh sb="4" eb="6">
      <t>ジコク</t>
    </rPh>
    <rPh sb="8" eb="9">
      <t>ト</t>
    </rPh>
    <rPh sb="10" eb="11">
      <t>ウ</t>
    </rPh>
    <rPh sb="12" eb="14">
      <t>キュウケイ</t>
    </rPh>
    <phoneticPr fontId="2"/>
  </si>
  <si>
    <t>その退社時刻で
取り得る休憩⇒1</t>
    <rPh sb="2" eb="4">
      <t>タイシャ</t>
    </rPh>
    <rPh sb="4" eb="6">
      <t>ジコク</t>
    </rPh>
    <rPh sb="8" eb="9">
      <t>ト</t>
    </rPh>
    <rPh sb="10" eb="11">
      <t>ウ</t>
    </rPh>
    <rPh sb="12" eb="14">
      <t>キュウケイ</t>
    </rPh>
    <phoneticPr fontId="2"/>
  </si>
  <si>
    <t>取得可否</t>
    <rPh sb="0" eb="2">
      <t>シュトク</t>
    </rPh>
    <rPh sb="2" eb="4">
      <t>カヒ</t>
    </rPh>
    <phoneticPr fontId="2"/>
  </si>
  <si>
    <t>内、深夜業休憩</t>
    <rPh sb="0" eb="1">
      <t>ウチ</t>
    </rPh>
    <rPh sb="2" eb="4">
      <t>シンヤ</t>
    </rPh>
    <rPh sb="4" eb="5">
      <t>ギョウ</t>
    </rPh>
    <rPh sb="5" eb="7">
      <t>キュウケイ</t>
    </rPh>
    <phoneticPr fontId="2"/>
  </si>
  <si>
    <t>内、深夜帯</t>
    <rPh sb="0" eb="1">
      <t>ウチ</t>
    </rPh>
    <rPh sb="2" eb="4">
      <t>シンヤ</t>
    </rPh>
    <rPh sb="4" eb="5">
      <t>オビ</t>
    </rPh>
    <phoneticPr fontId="2"/>
  </si>
  <si>
    <t>評価</t>
    <rPh sb="0" eb="2">
      <t>ヒョウカ</t>
    </rPh>
    <phoneticPr fontId="2"/>
  </si>
  <si>
    <t>午後半休</t>
    <rPh sb="0" eb="2">
      <t>ゴゴ</t>
    </rPh>
    <rPh sb="2" eb="4">
      <t>ハンキュウ</t>
    </rPh>
    <phoneticPr fontId="2"/>
  </si>
  <si>
    <t>可能な日</t>
    <rPh sb="0" eb="2">
      <t>カノウ</t>
    </rPh>
    <rPh sb="3" eb="4">
      <t>ヒ</t>
    </rPh>
    <phoneticPr fontId="2"/>
  </si>
  <si>
    <t>→年月日</t>
    <rPh sb="1" eb="4">
      <t>ネンガッピ</t>
    </rPh>
    <phoneticPr fontId="2"/>
  </si>
  <si>
    <t>曜日番号</t>
    <rPh sb="0" eb="2">
      <t>ヨウビ</t>
    </rPh>
    <rPh sb="2" eb="4">
      <t>バンゴウ</t>
    </rPh>
    <phoneticPr fontId="2"/>
  </si>
  <si>
    <t>土日</t>
    <rPh sb="0" eb="2">
      <t>ドニチ</t>
    </rPh>
    <phoneticPr fontId="2"/>
  </si>
  <si>
    <t>祝日&amp;就規休日</t>
    <rPh sb="0" eb="2">
      <t>シュクジツ</t>
    </rPh>
    <rPh sb="3" eb="4">
      <t>シュウ</t>
    </rPh>
    <rPh sb="4" eb="5">
      <t>タダシ</t>
    </rPh>
    <rPh sb="5" eb="7">
      <t>キュウジツ</t>
    </rPh>
    <phoneticPr fontId="2"/>
  </si>
  <si>
    <t>休日数</t>
    <rPh sb="0" eb="2">
      <t>キュウジツ</t>
    </rPh>
    <rPh sb="2" eb="3">
      <t>カズ</t>
    </rPh>
    <phoneticPr fontId="2"/>
  </si>
  <si>
    <t>遅早日のｶｳﾝﾄ</t>
    <rPh sb="0" eb="2">
      <t>チソウ</t>
    </rPh>
    <rPh sb="2" eb="3">
      <t>ビ</t>
    </rPh>
    <phoneticPr fontId="2"/>
  </si>
  <si>
    <t>[超過] 納期短縮の指示が出た</t>
    <rPh sb="5" eb="7">
      <t>ノウキ</t>
    </rPh>
    <rPh sb="7" eb="9">
      <t>タンシュク</t>
    </rPh>
    <rPh sb="10" eb="12">
      <t>シジ</t>
    </rPh>
    <rPh sb="13" eb="14">
      <t>デ</t>
    </rPh>
    <phoneticPr fontId="2"/>
  </si>
  <si>
    <t>忌引き</t>
  </si>
  <si>
    <t>保守</t>
    <rPh sb="0" eb="2">
      <t>ホシュ</t>
    </rPh>
    <phoneticPr fontId="2"/>
  </si>
  <si>
    <t>[超過] 他業務支援要請を受けた</t>
    <rPh sb="5" eb="6">
      <t>ホカ</t>
    </rPh>
    <rPh sb="6" eb="8">
      <t>ギョウム</t>
    </rPh>
    <rPh sb="8" eb="10">
      <t>シエン</t>
    </rPh>
    <rPh sb="10" eb="12">
      <t>ヨウセイ</t>
    </rPh>
    <rPh sb="13" eb="14">
      <t>ウ</t>
    </rPh>
    <phoneticPr fontId="2"/>
  </si>
  <si>
    <t>教育</t>
    <rPh sb="0" eb="2">
      <t>キョウイク</t>
    </rPh>
    <phoneticPr fontId="2"/>
  </si>
  <si>
    <t>[短縮] 効率化により業務短縮が可能に</t>
    <rPh sb="1" eb="3">
      <t>タンシュク</t>
    </rPh>
    <rPh sb="5" eb="8">
      <t>コウリツカ</t>
    </rPh>
    <rPh sb="11" eb="13">
      <t>ギョウム</t>
    </rPh>
    <rPh sb="13" eb="15">
      <t>タンシュク</t>
    </rPh>
    <rPh sb="16" eb="18">
      <t>カノウ</t>
    </rPh>
    <phoneticPr fontId="2"/>
  </si>
  <si>
    <t>JCD内勤</t>
    <rPh sb="3" eb="5">
      <t>ナイキン</t>
    </rPh>
    <phoneticPr fontId="2"/>
  </si>
  <si>
    <t>[短縮] 工数を過大に見積ってしまった</t>
    <rPh sb="5" eb="7">
      <t>コウスウ</t>
    </rPh>
    <rPh sb="8" eb="10">
      <t>カダイ</t>
    </rPh>
    <rPh sb="11" eb="13">
      <t>ミツモ</t>
    </rPh>
    <phoneticPr fontId="2"/>
  </si>
  <si>
    <t>その他</t>
    <rPh sb="2" eb="3">
      <t>タ</t>
    </rPh>
    <phoneticPr fontId="2"/>
  </si>
  <si>
    <t>[短縮] 休暇･欠勤による進捗の遅れ</t>
    <rPh sb="5" eb="7">
      <t>キュウカ</t>
    </rPh>
    <rPh sb="8" eb="10">
      <t>ケッキン</t>
    </rPh>
    <rPh sb="13" eb="15">
      <t>シンチョク</t>
    </rPh>
    <rPh sb="16" eb="17">
      <t>オク</t>
    </rPh>
    <phoneticPr fontId="2"/>
  </si>
  <si>
    <t>第2月曜日は曜日番号</t>
    <rPh sb="0" eb="1">
      <t>ダイ</t>
    </rPh>
    <rPh sb="2" eb="4">
      <t>ゲツヨウ</t>
    </rPh>
    <rPh sb="4" eb="5">
      <t>ビ</t>
    </rPh>
    <rPh sb="6" eb="8">
      <t>ヨウビ</t>
    </rPh>
    <rPh sb="8" eb="10">
      <t>バンゴウ</t>
    </rPh>
    <phoneticPr fontId="2"/>
  </si>
  <si>
    <t>[短縮] 納期が延長された</t>
    <rPh sb="5" eb="7">
      <t>ノウキ</t>
    </rPh>
    <rPh sb="8" eb="10">
      <t>エンチョウ</t>
    </rPh>
    <phoneticPr fontId="2"/>
  </si>
  <si>
    <t>の表の上から何番目？</t>
    <rPh sb="1" eb="2">
      <t>オモテ</t>
    </rPh>
    <rPh sb="3" eb="4">
      <t>ウエ</t>
    </rPh>
    <rPh sb="6" eb="9">
      <t>ナンバンメ</t>
    </rPh>
    <phoneticPr fontId="2"/>
  </si>
  <si>
    <t>[短縮] 見込み通りに業務遂行できた</t>
    <rPh sb="5" eb="7">
      <t>ミコミ</t>
    </rPh>
    <rPh sb="8" eb="9">
      <t>ドオ</t>
    </rPh>
    <rPh sb="11" eb="13">
      <t>ギョウム</t>
    </rPh>
    <rPh sb="13" eb="15">
      <t>スイコウ</t>
    </rPh>
    <phoneticPr fontId="2"/>
  </si>
  <si>
    <t>定例会出席</t>
    <rPh sb="0" eb="3">
      <t>テイレイカイ</t>
    </rPh>
    <rPh sb="3" eb="5">
      <t>シュッセキ</t>
    </rPh>
    <phoneticPr fontId="2"/>
  </si>
  <si>
    <t>〈任意追加〉</t>
    <rPh sb="1" eb="3">
      <t>ニンイ</t>
    </rPh>
    <rPh sb="3" eb="5">
      <t>ツイカ</t>
    </rPh>
    <phoneticPr fontId="2"/>
  </si>
  <si>
    <t>海の日は本来7月の第3月曜日</t>
    <rPh sb="0" eb="1">
      <t>ウミ</t>
    </rPh>
    <rPh sb="2" eb="3">
      <t>ヒ</t>
    </rPh>
    <rPh sb="4" eb="6">
      <t>ホンライ</t>
    </rPh>
    <rPh sb="7" eb="8">
      <t>ガツ</t>
    </rPh>
    <rPh sb="9" eb="10">
      <t>ダイ</t>
    </rPh>
    <rPh sb="11" eb="14">
      <t>ゲツヨウビ</t>
    </rPh>
    <phoneticPr fontId="2"/>
  </si>
  <si>
    <t>（注）2021年はオリンピックイヤーにつき例外</t>
    <rPh sb="1" eb="2">
      <t>チュウ</t>
    </rPh>
    <rPh sb="7" eb="8">
      <t>ネン</t>
    </rPh>
    <rPh sb="21" eb="23">
      <t>レイガイ</t>
    </rPh>
    <phoneticPr fontId="2"/>
  </si>
  <si>
    <t>遅刻</t>
  </si>
  <si>
    <t>体調不良</t>
  </si>
  <si>
    <t>春分の日</t>
    <rPh sb="0" eb="2">
      <t>シュンブン</t>
    </rPh>
    <rPh sb="3" eb="4">
      <t>ヒ</t>
    </rPh>
    <phoneticPr fontId="2"/>
  </si>
  <si>
    <t>通院</t>
  </si>
  <si>
    <t>第3月曜日は曜日番号</t>
    <rPh sb="0" eb="1">
      <t>ダイ</t>
    </rPh>
    <rPh sb="2" eb="4">
      <t>ゲツヨウ</t>
    </rPh>
    <rPh sb="4" eb="5">
      <t>ビ</t>
    </rPh>
    <rPh sb="6" eb="8">
      <t>ヨウビ</t>
    </rPh>
    <rPh sb="8" eb="10">
      <t>バンゴウ</t>
    </rPh>
    <phoneticPr fontId="2"/>
  </si>
  <si>
    <t>夏季休暇</t>
  </si>
  <si>
    <t>秋分の日</t>
    <rPh sb="0" eb="2">
      <t>シュウブン</t>
    </rPh>
    <rPh sb="3" eb="4">
      <t>ヒ</t>
    </rPh>
    <phoneticPr fontId="2"/>
  </si>
  <si>
    <t>【就業形態】</t>
    <rPh sb="1" eb="3">
      <t>シュウギョウ</t>
    </rPh>
    <rPh sb="3" eb="5">
      <t>ケイタイ</t>
    </rPh>
    <phoneticPr fontId="2"/>
  </si>
  <si>
    <t>【所属】</t>
    <rPh sb="1" eb="3">
      <t>ショゾク</t>
    </rPh>
    <phoneticPr fontId="2"/>
  </si>
  <si>
    <t>【役職】</t>
    <rPh sb="1" eb="3">
      <t>ヤクショク</t>
    </rPh>
    <phoneticPr fontId="2"/>
  </si>
  <si>
    <t>常用雇用</t>
    <rPh sb="0" eb="2">
      <t>ジョウヨウ</t>
    </rPh>
    <rPh sb="2" eb="4">
      <t>コヨウ</t>
    </rPh>
    <phoneticPr fontId="2"/>
  </si>
  <si>
    <t>取締役</t>
    <rPh sb="0" eb="3">
      <t>トリシマリヤク</t>
    </rPh>
    <phoneticPr fontId="2"/>
  </si>
  <si>
    <t>41条該当者</t>
    <rPh sb="2" eb="3">
      <t>ジョウ</t>
    </rPh>
    <rPh sb="3" eb="6">
      <t>ガイトウシャ</t>
    </rPh>
    <phoneticPr fontId="2"/>
  </si>
  <si>
    <t>パート</t>
    <phoneticPr fontId="2"/>
  </si>
  <si>
    <t>ｼｽﾃﾑ開発1課</t>
    <rPh sb="4" eb="6">
      <t>カイハツ</t>
    </rPh>
    <rPh sb="7" eb="8">
      <t>カ</t>
    </rPh>
    <phoneticPr fontId="2"/>
  </si>
  <si>
    <t>部長</t>
    <rPh sb="0" eb="2">
      <t>ブチョウ</t>
    </rPh>
    <phoneticPr fontId="2"/>
  </si>
  <si>
    <t>ｼｽﾃﾑ開発2課</t>
    <rPh sb="4" eb="6">
      <t>カイハツ</t>
    </rPh>
    <rPh sb="7" eb="8">
      <t>カ</t>
    </rPh>
    <phoneticPr fontId="2"/>
  </si>
  <si>
    <t>次長</t>
    <rPh sb="0" eb="2">
      <t>ジチョウ</t>
    </rPh>
    <phoneticPr fontId="2"/>
  </si>
  <si>
    <t>東京開発課</t>
    <rPh sb="0" eb="2">
      <t>トウキョウ</t>
    </rPh>
    <rPh sb="2" eb="5">
      <t>カイハツカ</t>
    </rPh>
    <phoneticPr fontId="2"/>
  </si>
  <si>
    <t>部長代理</t>
    <rPh sb="0" eb="2">
      <t>ブチョウ</t>
    </rPh>
    <rPh sb="2" eb="4">
      <t>ダイリ</t>
    </rPh>
    <phoneticPr fontId="2"/>
  </si>
  <si>
    <t>営業部</t>
    <rPh sb="0" eb="2">
      <t>エイギョウ</t>
    </rPh>
    <rPh sb="2" eb="3">
      <t>ブ</t>
    </rPh>
    <phoneticPr fontId="2"/>
  </si>
  <si>
    <t>41条に準ずる</t>
    <rPh sb="2" eb="3">
      <t>ジョウ</t>
    </rPh>
    <rPh sb="4" eb="5">
      <t>ジュン</t>
    </rPh>
    <phoneticPr fontId="2"/>
  </si>
  <si>
    <t>課長</t>
    <rPh sb="0" eb="2">
      <t>カチョウ</t>
    </rPh>
    <phoneticPr fontId="2"/>
  </si>
  <si>
    <t>総務部</t>
    <rPh sb="0" eb="2">
      <t>ソウム</t>
    </rPh>
    <rPh sb="2" eb="3">
      <t>ブ</t>
    </rPh>
    <phoneticPr fontId="2"/>
  </si>
  <si>
    <t>ＭＧ</t>
    <phoneticPr fontId="2"/>
  </si>
  <si>
    <t>課長代理</t>
    <rPh sb="0" eb="2">
      <t>カチョウ</t>
    </rPh>
    <rPh sb="2" eb="4">
      <t>ダイリ</t>
    </rPh>
    <phoneticPr fontId="2"/>
  </si>
  <si>
    <t>係長</t>
    <rPh sb="0" eb="2">
      <t>カカリチョウ</t>
    </rPh>
    <phoneticPr fontId="2"/>
  </si>
  <si>
    <t>次月（21日起算）稼動時間見込</t>
    <rPh sb="0" eb="2">
      <t>ジゲツ</t>
    </rPh>
    <rPh sb="5" eb="6">
      <t>ニチ</t>
    </rPh>
    <rPh sb="6" eb="8">
      <t>キサン</t>
    </rPh>
    <rPh sb="9" eb="11">
      <t>カドウ</t>
    </rPh>
    <rPh sb="11" eb="13">
      <t>ジカン</t>
    </rPh>
    <rPh sb="13" eb="15">
      <t>ミコ</t>
    </rPh>
    <phoneticPr fontId="2"/>
  </si>
  <si>
    <t>前月に見込んだ当月稼働時間と当月稼動実績との差異についての考察等</t>
    <rPh sb="0" eb="2">
      <t>ゼンゲツ</t>
    </rPh>
    <rPh sb="3" eb="5">
      <t>ミコ</t>
    </rPh>
    <rPh sb="7" eb="9">
      <t>トウゲツ</t>
    </rPh>
    <rPh sb="9" eb="11">
      <t>カドウ</t>
    </rPh>
    <rPh sb="11" eb="13">
      <t>ジカン</t>
    </rPh>
    <rPh sb="14" eb="16">
      <t>トウゲツ</t>
    </rPh>
    <rPh sb="16" eb="18">
      <t>カドウ</t>
    </rPh>
    <rPh sb="18" eb="20">
      <t>ジッセキ</t>
    </rPh>
    <rPh sb="22" eb="24">
      <t>サイ</t>
    </rPh>
    <rPh sb="29" eb="31">
      <t>コウサツ</t>
    </rPh>
    <rPh sb="31" eb="32">
      <t>トウ</t>
    </rPh>
    <phoneticPr fontId="2"/>
  </si>
  <si>
    <t>【客先カウント】</t>
    <rPh sb="1" eb="3">
      <t>キャクサキ</t>
    </rPh>
    <phoneticPr fontId="2"/>
  </si>
  <si>
    <t>主任</t>
    <rPh sb="0" eb="2">
      <t>シュニン</t>
    </rPh>
    <phoneticPr fontId="2"/>
  </si>
  <si>
    <t>就業規則上の休日</t>
    <rPh sb="0" eb="2">
      <t>シュウギョウ</t>
    </rPh>
    <rPh sb="2" eb="4">
      <t>キソク</t>
    </rPh>
    <rPh sb="4" eb="5">
      <t>ジョウ</t>
    </rPh>
    <rPh sb="6" eb="8">
      <t>キュウジツ</t>
    </rPh>
    <phoneticPr fontId="2"/>
  </si>
  <si>
    <t>要稼動</t>
    <rPh sb="0" eb="1">
      <t>ヨウ</t>
    </rPh>
    <rPh sb="1" eb="3">
      <t>カドウ</t>
    </rPh>
    <phoneticPr fontId="2"/>
  </si>
  <si>
    <t>要入力箇所</t>
    <rPh sb="0" eb="1">
      <t>ヨウ</t>
    </rPh>
    <rPh sb="1" eb="3">
      <t>ニュウリョク</t>
    </rPh>
    <rPh sb="3" eb="5">
      <t>カショ</t>
    </rPh>
    <phoneticPr fontId="2"/>
  </si>
  <si>
    <t>差異区分</t>
    <rPh sb="0" eb="1">
      <t>サ</t>
    </rPh>
    <rPh sb="1" eb="2">
      <t>イ</t>
    </rPh>
    <rPh sb="2" eb="4">
      <t>クブン</t>
    </rPh>
    <phoneticPr fontId="2"/>
  </si>
  <si>
    <t>ＰＬ</t>
    <phoneticPr fontId="2"/>
  </si>
  <si>
    <t>GL</t>
    <phoneticPr fontId="2"/>
  </si>
  <si>
    <t>スポーツの日は本来10月の第2月曜日</t>
    <rPh sb="5" eb="6">
      <t>ヒ</t>
    </rPh>
    <rPh sb="7" eb="9">
      <t>ホンライ</t>
    </rPh>
    <rPh sb="11" eb="12">
      <t>ガツ</t>
    </rPh>
    <rPh sb="13" eb="14">
      <t>ダイ</t>
    </rPh>
    <rPh sb="15" eb="18">
      <t>ゲツヨウビ</t>
    </rPh>
    <phoneticPr fontId="2"/>
  </si>
  <si>
    <t>考察等自由に記述</t>
    <rPh sb="0" eb="2">
      <t>コウサツ</t>
    </rPh>
    <rPh sb="2" eb="3">
      <t>トウ</t>
    </rPh>
    <rPh sb="3" eb="5">
      <t>ジユウ</t>
    </rPh>
    <rPh sb="6" eb="8">
      <t>キジュツ</t>
    </rPh>
    <phoneticPr fontId="2"/>
  </si>
  <si>
    <t>前月に見込んだ当月稼働時間</t>
    <rPh sb="0" eb="2">
      <t>ゼンゲツ</t>
    </rPh>
    <rPh sb="3" eb="5">
      <t>ミコ</t>
    </rPh>
    <rPh sb="7" eb="9">
      <t>トウゲツ</t>
    </rPh>
    <rPh sb="9" eb="11">
      <t>カドウ</t>
    </rPh>
    <rPh sb="11" eb="13">
      <t>ジカン</t>
    </rPh>
    <phoneticPr fontId="2"/>
  </si>
  <si>
    <t>海の日の算出セル（DM13）に元々入れてあった計算式</t>
    <rPh sb="0" eb="1">
      <t>ウミ</t>
    </rPh>
    <rPh sb="2" eb="3">
      <t>ヒ</t>
    </rPh>
    <rPh sb="4" eb="6">
      <t>サンシュツ</t>
    </rPh>
    <rPh sb="15" eb="17">
      <t>モトモト</t>
    </rPh>
    <rPh sb="17" eb="18">
      <t>イ</t>
    </rPh>
    <rPh sb="23" eb="26">
      <t>ケイサンシキ</t>
    </rPh>
    <phoneticPr fontId="2"/>
  </si>
  <si>
    <t>=INDEX(DU18:DU24,DW24)</t>
    <phoneticPr fontId="2"/>
  </si>
  <si>
    <t>スポーツの日の算出セル（DM15）に元々入れてあった計算式</t>
    <rPh sb="5" eb="6">
      <t>ヒ</t>
    </rPh>
    <rPh sb="7" eb="9">
      <t>サンシュツ</t>
    </rPh>
    <rPh sb="18" eb="20">
      <t>モトモト</t>
    </rPh>
    <rPh sb="20" eb="21">
      <t>イ</t>
    </rPh>
    <rPh sb="26" eb="29">
      <t>ケイサンシキ</t>
    </rPh>
    <phoneticPr fontId="2"/>
  </si>
  <si>
    <t>=INDEX(DU44:DU50,DW50)</t>
    <phoneticPr fontId="2"/>
  </si>
  <si>
    <t>※WEEKDAY関数の種類を省略するか1とすると、日曜日が曜日番号1となり月曜日が2となる。</t>
    <rPh sb="8" eb="10">
      <t>カンスウ</t>
    </rPh>
    <rPh sb="11" eb="13">
      <t>シュルイ</t>
    </rPh>
    <rPh sb="14" eb="16">
      <t>ショウリャク</t>
    </rPh>
    <rPh sb="25" eb="28">
      <t>ニチヨウビ</t>
    </rPh>
    <rPh sb="29" eb="31">
      <t>ヨウビ</t>
    </rPh>
    <rPh sb="31" eb="33">
      <t>バンゴウ</t>
    </rPh>
    <rPh sb="37" eb="39">
      <t>ゲツヨウ</t>
    </rPh>
    <rPh sb="39" eb="40">
      <t>ヒ</t>
    </rPh>
    <phoneticPr fontId="2"/>
  </si>
  <si>
    <t>実稼動</t>
    <rPh sb="0" eb="1">
      <t>ジツ</t>
    </rPh>
    <rPh sb="1" eb="3">
      <t>カドウ</t>
    </rPh>
    <phoneticPr fontId="2"/>
  </si>
  <si>
    <t>標準稼動</t>
    <rPh sb="0" eb="2">
      <t>ヒョウジュン</t>
    </rPh>
    <rPh sb="2" eb="4">
      <t>カドウ</t>
    </rPh>
    <phoneticPr fontId="2"/>
  </si>
  <si>
    <t>※｢前月入力内容消去｣ボタンを押すと、稼働時間の次月見込･当月実績･差異区分が</t>
    <rPh sb="2" eb="4">
      <t>ゼンゲツ</t>
    </rPh>
    <rPh sb="4" eb="6">
      <t>ニュウリョク</t>
    </rPh>
    <rPh sb="6" eb="8">
      <t>ナイヨウ</t>
    </rPh>
    <rPh sb="8" eb="10">
      <t>ショウキョ</t>
    </rPh>
    <rPh sb="15" eb="16">
      <t>オ</t>
    </rPh>
    <rPh sb="19" eb="21">
      <t>カドウ</t>
    </rPh>
    <rPh sb="21" eb="23">
      <t>ジカン</t>
    </rPh>
    <rPh sb="24" eb="26">
      <t>ジゲツ</t>
    </rPh>
    <rPh sb="26" eb="28">
      <t>ミコ</t>
    </rPh>
    <rPh sb="29" eb="31">
      <t>トウゲツ</t>
    </rPh>
    <rPh sb="31" eb="33">
      <t>ジッセキ</t>
    </rPh>
    <rPh sb="34" eb="36">
      <t>サイ</t>
    </rPh>
    <rPh sb="36" eb="38">
      <t>クブン</t>
    </rPh>
    <phoneticPr fontId="2"/>
  </si>
  <si>
    <t>　　"工数差異集計"シートへ転記されデータが蓄積されていきます。</t>
    <rPh sb="14" eb="16">
      <t>テンキ</t>
    </rPh>
    <rPh sb="22" eb="24">
      <t>チクセキ</t>
    </rPh>
    <phoneticPr fontId="2"/>
  </si>
  <si>
    <t>半休</t>
    <rPh sb="0" eb="2">
      <t>ハンキュウ</t>
    </rPh>
    <phoneticPr fontId="2"/>
  </si>
  <si>
    <t>有給消化</t>
    <rPh sb="0" eb="2">
      <t>ユウキュウ</t>
    </rPh>
    <rPh sb="2" eb="4">
      <t>ショウカ</t>
    </rPh>
    <phoneticPr fontId="2"/>
  </si>
  <si>
    <t>特休</t>
    <rPh sb="0" eb="1">
      <t>トク</t>
    </rPh>
    <rPh sb="1" eb="2">
      <t>キュウ</t>
    </rPh>
    <phoneticPr fontId="2"/>
  </si>
  <si>
    <t>冬期休暇</t>
    <rPh sb="0" eb="2">
      <t>トウキ</t>
    </rPh>
    <rPh sb="2" eb="4">
      <t>キュウカ</t>
    </rPh>
    <phoneticPr fontId="2"/>
  </si>
  <si>
    <t>休出</t>
    <rPh sb="0" eb="1">
      <t>キュウ</t>
    </rPh>
    <rPh sb="1" eb="2">
      <t>シュツ</t>
    </rPh>
    <phoneticPr fontId="2"/>
  </si>
  <si>
    <t>振休</t>
    <rPh sb="0" eb="1">
      <t>フ</t>
    </rPh>
    <rPh sb="1" eb="2">
      <t>キュウ</t>
    </rPh>
    <phoneticPr fontId="2"/>
  </si>
  <si>
    <t>遅早回数</t>
    <rPh sb="0" eb="2">
      <t>チソウ</t>
    </rPh>
    <rPh sb="2" eb="4">
      <t>カイスウ</t>
    </rPh>
    <phoneticPr fontId="2"/>
  </si>
  <si>
    <t>※｢前月入力内容消去｣ボタンを押すと、入力した日々の</t>
    <rPh sb="2" eb="4">
      <t>ゼンゲツ</t>
    </rPh>
    <rPh sb="4" eb="6">
      <t>ニュウリョク</t>
    </rPh>
    <rPh sb="6" eb="8">
      <t>ナイヨウ</t>
    </rPh>
    <rPh sb="8" eb="10">
      <t>ショウキョ</t>
    </rPh>
    <rPh sb="15" eb="16">
      <t>オ</t>
    </rPh>
    <rPh sb="19" eb="21">
      <t>ニュウリョク</t>
    </rPh>
    <rPh sb="23" eb="25">
      <t>ヒビ</t>
    </rPh>
    <phoneticPr fontId="2"/>
  </si>
  <si>
    <t>　稼働時間等を一括消去できます。</t>
    <phoneticPr fontId="2"/>
  </si>
  <si>
    <t>日本電算開発株式会社　作業報告書</t>
    <rPh sb="0" eb="10">
      <t>カイシャ</t>
    </rPh>
    <rPh sb="11" eb="13">
      <t>サギョウ</t>
    </rPh>
    <rPh sb="13" eb="16">
      <t>ホウコクショ</t>
    </rPh>
    <phoneticPr fontId="2"/>
  </si>
  <si>
    <t>月度</t>
    <rPh sb="0" eb="1">
      <t>ガツ</t>
    </rPh>
    <rPh sb="1" eb="2">
      <t>ド</t>
    </rPh>
    <phoneticPr fontId="2"/>
  </si>
  <si>
    <t>氏　　名</t>
    <rPh sb="0" eb="1">
      <t>シ</t>
    </rPh>
    <rPh sb="3" eb="4">
      <t>メイ</t>
    </rPh>
    <phoneticPr fontId="2"/>
  </si>
  <si>
    <t>第1休憩</t>
    <rPh sb="0" eb="2">
      <t>ダイイチ</t>
    </rPh>
    <rPh sb="2" eb="4">
      <t>キュウケイ</t>
    </rPh>
    <phoneticPr fontId="2"/>
  </si>
  <si>
    <t>遅早</t>
    <rPh sb="0" eb="2">
      <t>チソウ</t>
    </rPh>
    <phoneticPr fontId="2"/>
  </si>
  <si>
    <t>残　業　時　間</t>
    <rPh sb="0" eb="1">
      <t>ザン</t>
    </rPh>
    <rPh sb="2" eb="3">
      <t>ギョウ</t>
    </rPh>
    <rPh sb="4" eb="5">
      <t>トキ</t>
    </rPh>
    <rPh sb="6" eb="7">
      <t>アイダ</t>
    </rPh>
    <phoneticPr fontId="2"/>
  </si>
  <si>
    <t>曜</t>
    <rPh sb="0" eb="1">
      <t>ヒカリ</t>
    </rPh>
    <phoneticPr fontId="2"/>
  </si>
  <si>
    <t>休憩</t>
    <rPh sb="0" eb="2">
      <t>キュウケイ</t>
    </rPh>
    <phoneticPr fontId="2"/>
  </si>
  <si>
    <t>時間</t>
    <rPh sb="0" eb="2">
      <t>ジカン</t>
    </rPh>
    <phoneticPr fontId="2"/>
  </si>
  <si>
    <t>免除</t>
    <rPh sb="0" eb="2">
      <t>メンジョ</t>
    </rPh>
    <phoneticPr fontId="2"/>
  </si>
  <si>
    <t>普通</t>
    <rPh sb="0" eb="2">
      <t>フツウ</t>
    </rPh>
    <phoneticPr fontId="2"/>
  </si>
  <si>
    <t>勤怠報告</t>
    <rPh sb="0" eb="2">
      <t>キンタイ</t>
    </rPh>
    <rPh sb="2" eb="4">
      <t>ホウコク</t>
    </rPh>
    <phoneticPr fontId="2"/>
  </si>
  <si>
    <t>小　　計</t>
    <rPh sb="0" eb="1">
      <t>ショウ</t>
    </rPh>
    <rPh sb="3" eb="4">
      <t>ケイ</t>
    </rPh>
    <phoneticPr fontId="2"/>
  </si>
  <si>
    <t>前月に見込んだ
当月稼動時間</t>
    <rPh sb="0" eb="2">
      <t>ゼンゲツ</t>
    </rPh>
    <rPh sb="3" eb="5">
      <t>ミコ</t>
    </rPh>
    <rPh sb="8" eb="10">
      <t>トウゲツ</t>
    </rPh>
    <rPh sb="10" eb="12">
      <t>カドウ</t>
    </rPh>
    <rPh sb="12" eb="14">
      <t>ジカン</t>
    </rPh>
    <phoneticPr fontId="2"/>
  </si>
  <si>
    <t>前月に見込んだ当月稼動時間と、実績との差異について考察</t>
    <rPh sb="0" eb="2">
      <t>ゼンゲツ</t>
    </rPh>
    <rPh sb="3" eb="5">
      <t>ミコ</t>
    </rPh>
    <rPh sb="7" eb="9">
      <t>トウゲツ</t>
    </rPh>
    <rPh sb="9" eb="11">
      <t>カドウ</t>
    </rPh>
    <rPh sb="11" eb="13">
      <t>ジカン</t>
    </rPh>
    <rPh sb="15" eb="17">
      <t>ジッセキ</t>
    </rPh>
    <rPh sb="19" eb="21">
      <t>サイ</t>
    </rPh>
    <rPh sb="25" eb="27">
      <t>コウサツ</t>
    </rPh>
    <phoneticPr fontId="2"/>
  </si>
  <si>
    <t>調整_1)</t>
    <rPh sb="0" eb="2">
      <t>チョウセイ</t>
    </rPh>
    <phoneticPr fontId="2"/>
  </si>
  <si>
    <t>差異
区分</t>
    <rPh sb="0" eb="2">
      <t>サイ</t>
    </rPh>
    <rPh sb="3" eb="5">
      <t>クブン</t>
    </rPh>
    <phoneticPr fontId="2"/>
  </si>
  <si>
    <t>調整_2)</t>
    <rPh sb="0" eb="2">
      <t>チョウセイ</t>
    </rPh>
    <phoneticPr fontId="2"/>
  </si>
  <si>
    <t>月度稼動
時間見込</t>
    <rPh sb="0" eb="1">
      <t>ガツ</t>
    </rPh>
    <rPh sb="1" eb="2">
      <t>ド</t>
    </rPh>
    <rPh sb="2" eb="4">
      <t>カドウ</t>
    </rPh>
    <rPh sb="5" eb="7">
      <t>ジカン</t>
    </rPh>
    <rPh sb="7" eb="9">
      <t>ミコ</t>
    </rPh>
    <phoneticPr fontId="2"/>
  </si>
  <si>
    <t>考察</t>
    <rPh sb="0" eb="2">
      <t>コウサツ</t>
    </rPh>
    <phoneticPr fontId="2"/>
  </si>
  <si>
    <t>合　　計</t>
    <rPh sb="0" eb="1">
      <t>ゴウ</t>
    </rPh>
    <rPh sb="3" eb="4">
      <t>ケイ</t>
    </rPh>
    <phoneticPr fontId="2"/>
  </si>
  <si>
    <t>検1</t>
    <rPh sb="0" eb="1">
      <t>ケン</t>
    </rPh>
    <phoneticPr fontId="2"/>
  </si>
  <si>
    <t>検2</t>
    <rPh sb="0" eb="1">
      <t>ケン</t>
    </rPh>
    <phoneticPr fontId="2"/>
  </si>
  <si>
    <t>要出勤</t>
    <rPh sb="0" eb="1">
      <t>ヨウ</t>
    </rPh>
    <rPh sb="1" eb="3">
      <t>シュッキン</t>
    </rPh>
    <phoneticPr fontId="2"/>
  </si>
  <si>
    <t>実稼働</t>
    <rPh sb="0" eb="1">
      <t>ジツ</t>
    </rPh>
    <rPh sb="1" eb="3">
      <t>カドウ</t>
    </rPh>
    <phoneticPr fontId="2"/>
  </si>
  <si>
    <t>休日</t>
    <rPh sb="0" eb="2">
      <t>キュウジツ</t>
    </rPh>
    <phoneticPr fontId="2"/>
  </si>
  <si>
    <t>振替</t>
    <rPh sb="0" eb="2">
      <t>フリカエ</t>
    </rPh>
    <phoneticPr fontId="2"/>
  </si>
  <si>
    <t>特別</t>
    <rPh sb="0" eb="2">
      <t>トクベツ</t>
    </rPh>
    <phoneticPr fontId="2"/>
  </si>
  <si>
    <t>夏季</t>
    <rPh sb="0" eb="2">
      <t>カキ</t>
    </rPh>
    <phoneticPr fontId="2"/>
  </si>
  <si>
    <t>冬季</t>
    <rPh sb="0" eb="2">
      <t>トウキ</t>
    </rPh>
    <phoneticPr fontId="2"/>
  </si>
  <si>
    <t>シフト</t>
    <phoneticPr fontId="2"/>
  </si>
  <si>
    <t>日数</t>
    <rPh sb="0" eb="2">
      <t>ニッスウ</t>
    </rPh>
    <phoneticPr fontId="2"/>
  </si>
  <si>
    <t>内、
自宅待機</t>
    <rPh sb="0" eb="1">
      <t>ウチ</t>
    </rPh>
    <rPh sb="3" eb="5">
      <t>ジタク</t>
    </rPh>
    <rPh sb="5" eb="7">
      <t>タイキ</t>
    </rPh>
    <phoneticPr fontId="2"/>
  </si>
  <si>
    <t>出勤</t>
    <rPh sb="0" eb="2">
      <t>シュッキン</t>
    </rPh>
    <phoneticPr fontId="2"/>
  </si>
  <si>
    <t>回数</t>
    <rPh sb="0" eb="2">
      <t>カイスウ</t>
    </rPh>
    <phoneticPr fontId="2"/>
  </si>
  <si>
    <t>消化計</t>
    <rPh sb="0" eb="2">
      <t>ショウカ</t>
    </rPh>
    <rPh sb="2" eb="3">
      <t>ケイ</t>
    </rPh>
    <phoneticPr fontId="2"/>
  </si>
  <si>
    <t>休暇</t>
    <rPh sb="0" eb="2">
      <t>キュウカ</t>
    </rPh>
    <phoneticPr fontId="2"/>
  </si>
  <si>
    <t>勤務</t>
    <rPh sb="0" eb="2">
      <t>キンム</t>
    </rPh>
    <phoneticPr fontId="2"/>
  </si>
  <si>
    <t>回</t>
    <rPh sb="0" eb="1">
      <t>マワ</t>
    </rPh>
    <phoneticPr fontId="2"/>
  </si>
  <si>
    <t>ver.20210122</t>
    <phoneticPr fontId="2"/>
  </si>
  <si>
    <t>下記、届け出致します。</t>
    <rPh sb="0" eb="2">
      <t>カキ</t>
    </rPh>
    <rPh sb="3" eb="4">
      <t>トド</t>
    </rPh>
    <rPh sb="5" eb="6">
      <t>デ</t>
    </rPh>
    <rPh sb="6" eb="7">
      <t>イタ</t>
    </rPh>
    <phoneticPr fontId="2"/>
  </si>
  <si>
    <t>（注）1月～12月まで届出事項を消去せず溜めておくこと</t>
    <rPh sb="1" eb="2">
      <t>チュウ</t>
    </rPh>
    <rPh sb="4" eb="5">
      <t>ガツ</t>
    </rPh>
    <rPh sb="8" eb="9">
      <t>ガツ</t>
    </rPh>
    <rPh sb="11" eb="13">
      <t>トドケデ</t>
    </rPh>
    <rPh sb="13" eb="15">
      <t>ジコウ</t>
    </rPh>
    <rPh sb="16" eb="18">
      <t>ショウキョ</t>
    </rPh>
    <rPh sb="20" eb="21">
      <t>タ</t>
    </rPh>
    <phoneticPr fontId="2"/>
  </si>
  <si>
    <t>届出内容</t>
    <rPh sb="0" eb="2">
      <t>トドケデ</t>
    </rPh>
    <rPh sb="2" eb="4">
      <t>ナイヨウ</t>
    </rPh>
    <phoneticPr fontId="2"/>
  </si>
  <si>
    <t>理由</t>
    <rPh sb="0" eb="2">
      <t>リユウ</t>
    </rPh>
    <phoneticPr fontId="2"/>
  </si>
  <si>
    <t>遅刻/シフト
出社時刻</t>
    <rPh sb="0" eb="2">
      <t>チコク</t>
    </rPh>
    <rPh sb="7" eb="9">
      <t>シュッシャ</t>
    </rPh>
    <rPh sb="9" eb="11">
      <t>ジコク</t>
    </rPh>
    <phoneticPr fontId="2"/>
  </si>
  <si>
    <t>早退/シフト
退社時刻</t>
    <rPh sb="0" eb="2">
      <t>ソウタイ</t>
    </rPh>
    <rPh sb="7" eb="9">
      <t>タイシャ</t>
    </rPh>
    <rPh sb="9" eb="11">
      <t>ジコク</t>
    </rPh>
    <phoneticPr fontId="2"/>
  </si>
  <si>
    <t>※給与月</t>
    <rPh sb="1" eb="3">
      <t>キュウヨ</t>
    </rPh>
    <rPh sb="3" eb="4">
      <t>ツキ</t>
    </rPh>
    <phoneticPr fontId="2"/>
  </si>
  <si>
    <t>届出月</t>
    <rPh sb="0" eb="2">
      <t>トドケデ</t>
    </rPh>
    <rPh sb="2" eb="3">
      <t>ツキ</t>
    </rPh>
    <phoneticPr fontId="2"/>
  </si>
  <si>
    <t>集計</t>
    <rPh sb="0" eb="2">
      <t>シュウケイ</t>
    </rPh>
    <phoneticPr fontId="2"/>
  </si>
  <si>
    <t>振替休日</t>
    <rPh sb="0" eb="4">
      <t>フリカエキュウジツ</t>
    </rPh>
    <phoneticPr fontId="2"/>
  </si>
  <si>
    <t>午前半休</t>
    <rPh sb="2" eb="4">
      <t>ハンキュウ</t>
    </rPh>
    <phoneticPr fontId="2"/>
  </si>
  <si>
    <t>早退</t>
  </si>
  <si>
    <t>午後半休</t>
    <rPh sb="2" eb="4">
      <t>ハンキュウ</t>
    </rPh>
    <phoneticPr fontId="2"/>
  </si>
  <si>
    <t>欠勤</t>
  </si>
  <si>
    <t>特別休暇</t>
    <rPh sb="1" eb="2">
      <t>ベツ</t>
    </rPh>
    <rPh sb="2" eb="4">
      <t>キュウカ</t>
    </rPh>
    <phoneticPr fontId="2"/>
  </si>
  <si>
    <t>届出回数</t>
    <rPh sb="0" eb="2">
      <t>トドケデ</t>
    </rPh>
    <rPh sb="2" eb="4">
      <t>カイスウ</t>
    </rPh>
    <phoneticPr fontId="2"/>
  </si>
  <si>
    <t>（注）</t>
    <rPh sb="1" eb="2">
      <t>チュウ</t>
    </rPh>
    <phoneticPr fontId="2"/>
  </si>
  <si>
    <t>特別休暇　=　就業規則第36条（特別休暇）　に定める特別休暇</t>
    <rPh sb="0" eb="2">
      <t>トクベツ</t>
    </rPh>
    <rPh sb="2" eb="4">
      <t>キュウカ</t>
    </rPh>
    <rPh sb="7" eb="9">
      <t>シュウギョウ</t>
    </rPh>
    <rPh sb="9" eb="11">
      <t>キソク</t>
    </rPh>
    <rPh sb="11" eb="12">
      <t>ダイ</t>
    </rPh>
    <rPh sb="14" eb="15">
      <t>ジョウ</t>
    </rPh>
    <rPh sb="16" eb="18">
      <t>トクベツ</t>
    </rPh>
    <rPh sb="18" eb="20">
      <t>キュウカ</t>
    </rPh>
    <rPh sb="23" eb="24">
      <t>サダ</t>
    </rPh>
    <rPh sb="26" eb="28">
      <t>トクベツ</t>
    </rPh>
    <rPh sb="28" eb="30">
      <t>キュウカ</t>
    </rPh>
    <phoneticPr fontId="2"/>
  </si>
  <si>
    <t>　1）　本人の結婚　5日</t>
    <rPh sb="4" eb="6">
      <t>ホンニン</t>
    </rPh>
    <rPh sb="7" eb="9">
      <t>ケッコン</t>
    </rPh>
    <rPh sb="11" eb="12">
      <t>ニチ</t>
    </rPh>
    <phoneticPr fontId="2"/>
  </si>
  <si>
    <t>　2）　配偶者、子、父母の死亡　3日</t>
    <rPh sb="4" eb="7">
      <t>ハイグウシャ</t>
    </rPh>
    <rPh sb="8" eb="9">
      <t>コ</t>
    </rPh>
    <rPh sb="10" eb="12">
      <t>フボ</t>
    </rPh>
    <rPh sb="13" eb="15">
      <t>シボウ</t>
    </rPh>
    <rPh sb="17" eb="18">
      <t>ニチ</t>
    </rPh>
    <phoneticPr fontId="2"/>
  </si>
  <si>
    <t>　3）　祖父母、配偶者の父母、兄弟姉妹の死亡　2日</t>
    <rPh sb="4" eb="7">
      <t>ソフボ</t>
    </rPh>
    <rPh sb="8" eb="11">
      <t>ハイグウシャ</t>
    </rPh>
    <rPh sb="12" eb="14">
      <t>フボ</t>
    </rPh>
    <rPh sb="15" eb="17">
      <t>ケイテイ</t>
    </rPh>
    <rPh sb="17" eb="19">
      <t>シマイ</t>
    </rPh>
    <rPh sb="20" eb="22">
      <t>シボウ</t>
    </rPh>
    <rPh sb="24" eb="25">
      <t>ニチ</t>
    </rPh>
    <phoneticPr fontId="2"/>
  </si>
  <si>
    <t>　4）　その他会社が認めた日</t>
    <rPh sb="6" eb="7">
      <t>タ</t>
    </rPh>
    <rPh sb="7" eb="9">
      <t>カイシャ</t>
    </rPh>
    <rPh sb="10" eb="11">
      <t>ミト</t>
    </rPh>
    <rPh sb="13" eb="14">
      <t>ヒ</t>
    </rPh>
    <phoneticPr fontId="2"/>
  </si>
  <si>
    <t>氏　名</t>
    <rPh sb="0" eb="1">
      <t>シ</t>
    </rPh>
    <rPh sb="2" eb="3">
      <t>メイ</t>
    </rPh>
    <phoneticPr fontId="2"/>
  </si>
  <si>
    <t>自宅住所</t>
    <rPh sb="0" eb="2">
      <t>ジタク</t>
    </rPh>
    <rPh sb="2" eb="4">
      <t>ジュウショ</t>
    </rPh>
    <phoneticPr fontId="2"/>
  </si>
  <si>
    <t>最寄駅</t>
    <rPh sb="0" eb="2">
      <t>モヨ</t>
    </rPh>
    <rPh sb="2" eb="3">
      <t>エキ</t>
    </rPh>
    <phoneticPr fontId="2"/>
  </si>
  <si>
    <t>公共交通機関利用者</t>
    <rPh sb="0" eb="2">
      <t>コウキョウ</t>
    </rPh>
    <rPh sb="2" eb="4">
      <t>コウツウ</t>
    </rPh>
    <rPh sb="4" eb="6">
      <t>キカン</t>
    </rPh>
    <rPh sb="6" eb="9">
      <t>リヨウシャ</t>
    </rPh>
    <phoneticPr fontId="2"/>
  </si>
  <si>
    <t>定期券1</t>
    <rPh sb="0" eb="2">
      <t>テイキ</t>
    </rPh>
    <rPh sb="2" eb="3">
      <t>ケン</t>
    </rPh>
    <phoneticPr fontId="2"/>
  </si>
  <si>
    <t>発　 　駅</t>
    <rPh sb="0" eb="1">
      <t>ハツ</t>
    </rPh>
    <rPh sb="4" eb="5">
      <t>エキ</t>
    </rPh>
    <phoneticPr fontId="2"/>
  </si>
  <si>
    <t>着　駅</t>
    <rPh sb="0" eb="1">
      <t>キ</t>
    </rPh>
    <rPh sb="2" eb="3">
      <t>エキ</t>
    </rPh>
    <phoneticPr fontId="2"/>
  </si>
  <si>
    <t>経　由</t>
    <rPh sb="0" eb="1">
      <t>キョウ</t>
    </rPh>
    <rPh sb="2" eb="3">
      <t>ヨシ</t>
    </rPh>
    <phoneticPr fontId="2"/>
  </si>
  <si>
    <t>路　線</t>
    <rPh sb="0" eb="1">
      <t>ミチ</t>
    </rPh>
    <rPh sb="2" eb="3">
      <t>セン</t>
    </rPh>
    <phoneticPr fontId="2"/>
  </si>
  <si>
    <t>有効期間</t>
    <rPh sb="0" eb="2">
      <t>ユウコウ</t>
    </rPh>
    <rPh sb="2" eb="4">
      <t>キカン</t>
    </rPh>
    <phoneticPr fontId="2"/>
  </si>
  <si>
    <t>～</t>
    <phoneticPr fontId="2"/>
  </si>
  <si>
    <t>金　額</t>
    <rPh sb="0" eb="1">
      <t>キン</t>
    </rPh>
    <rPh sb="2" eb="3">
      <t>ガク</t>
    </rPh>
    <phoneticPr fontId="2"/>
  </si>
  <si>
    <t>備　　 考</t>
    <rPh sb="0" eb="1">
      <t>ソナエ</t>
    </rPh>
    <rPh sb="4" eb="5">
      <t>コウ</t>
    </rPh>
    <phoneticPr fontId="2"/>
  </si>
  <si>
    <t>定期券2</t>
    <rPh sb="0" eb="2">
      <t>テイキ</t>
    </rPh>
    <rPh sb="2" eb="3">
      <t>ケン</t>
    </rPh>
    <phoneticPr fontId="2"/>
  </si>
  <si>
    <t>定期券3</t>
    <rPh sb="0" eb="2">
      <t>テイキ</t>
    </rPh>
    <rPh sb="2" eb="3">
      <t>ケン</t>
    </rPh>
    <phoneticPr fontId="2"/>
  </si>
  <si>
    <t>合計金額</t>
    <rPh sb="0" eb="2">
      <t>ゴウケイ</t>
    </rPh>
    <rPh sb="2" eb="3">
      <t>キン</t>
    </rPh>
    <rPh sb="3" eb="4">
      <t>ガク</t>
    </rPh>
    <phoneticPr fontId="2"/>
  </si>
  <si>
    <t>自動車通勤者であって、駐車場を個人で契約して利用している者</t>
    <rPh sb="0" eb="3">
      <t>ジドウシャ</t>
    </rPh>
    <rPh sb="3" eb="6">
      <t>ツウキンシャ</t>
    </rPh>
    <rPh sb="11" eb="14">
      <t>チュウシャジョウ</t>
    </rPh>
    <rPh sb="15" eb="17">
      <t>コジン</t>
    </rPh>
    <rPh sb="18" eb="20">
      <t>ケイヤク</t>
    </rPh>
    <rPh sb="22" eb="24">
      <t>リヨウ</t>
    </rPh>
    <rPh sb="28" eb="29">
      <t>モノ</t>
    </rPh>
    <phoneticPr fontId="2"/>
  </si>
  <si>
    <t>貸  　　主</t>
    <rPh sb="0" eb="1">
      <t>カシ</t>
    </rPh>
    <rPh sb="5" eb="6">
      <t>シュ</t>
    </rPh>
    <phoneticPr fontId="2"/>
  </si>
  <si>
    <t>住　  　所</t>
    <rPh sb="0" eb="1">
      <t>ジュウ</t>
    </rPh>
    <rPh sb="5" eb="6">
      <t>ショ</t>
    </rPh>
    <phoneticPr fontId="2"/>
  </si>
  <si>
    <t>賃料月額</t>
    <rPh sb="0" eb="2">
      <t>チンリョウ</t>
    </rPh>
    <rPh sb="2" eb="4">
      <t>ゲツガク</t>
    </rPh>
    <phoneticPr fontId="2"/>
  </si>
  <si>
    <t>今月支払月度</t>
    <rPh sb="0" eb="2">
      <t>コンゲツ</t>
    </rPh>
    <rPh sb="2" eb="4">
      <t>シハライ</t>
    </rPh>
    <rPh sb="4" eb="5">
      <t>ゲツ</t>
    </rPh>
    <rPh sb="5" eb="6">
      <t>ド</t>
    </rPh>
    <phoneticPr fontId="2"/>
  </si>
  <si>
    <t>月分</t>
    <rPh sb="0" eb="1">
      <t>ガツ</t>
    </rPh>
    <rPh sb="1" eb="2">
      <t>ブン</t>
    </rPh>
    <phoneticPr fontId="2"/>
  </si>
  <si>
    <t>備　　　考</t>
    <rPh sb="0" eb="1">
      <t>ソナエ</t>
    </rPh>
    <rPh sb="4" eb="5">
      <t>コウ</t>
    </rPh>
    <phoneticPr fontId="2"/>
  </si>
  <si>
    <t>【券面/家賃通帳　コピー貼付】</t>
    <rPh sb="1" eb="3">
      <t>ケンメン</t>
    </rPh>
    <rPh sb="4" eb="6">
      <t>ヤチン</t>
    </rPh>
    <rPh sb="6" eb="8">
      <t>ツウチョウ</t>
    </rPh>
    <rPh sb="12" eb="14">
      <t>チョウフ</t>
    </rPh>
    <phoneticPr fontId="2"/>
  </si>
  <si>
    <t>出張</t>
    <rPh sb="0" eb="2">
      <t>シュッチョウ</t>
    </rPh>
    <phoneticPr fontId="2"/>
  </si>
  <si>
    <t>氏　 名</t>
    <rPh sb="0" eb="1">
      <t>シ</t>
    </rPh>
    <rPh sb="3" eb="4">
      <t>メイ</t>
    </rPh>
    <phoneticPr fontId="2"/>
  </si>
  <si>
    <t>通勤費</t>
    <rPh sb="0" eb="2">
      <t>ツウキン</t>
    </rPh>
    <rPh sb="2" eb="3">
      <t>ヒ</t>
    </rPh>
    <phoneticPr fontId="2"/>
  </si>
  <si>
    <t>JCD 三⇔東</t>
    <rPh sb="4" eb="5">
      <t>サン</t>
    </rPh>
    <rPh sb="6" eb="7">
      <t>ヒガシ</t>
    </rPh>
    <phoneticPr fontId="2"/>
  </si>
  <si>
    <t>日　 付</t>
    <rPh sb="0" eb="1">
      <t>ヒ</t>
    </rPh>
    <rPh sb="3" eb="4">
      <t>ヅケ</t>
    </rPh>
    <phoneticPr fontId="2"/>
  </si>
  <si>
    <t>区　 分</t>
    <rPh sb="0" eb="1">
      <t>ク</t>
    </rPh>
    <rPh sb="3" eb="4">
      <t>ブン</t>
    </rPh>
    <phoneticPr fontId="2"/>
  </si>
  <si>
    <t>内容［旅行区間（発着場所）･購入品等］</t>
    <rPh sb="0" eb="2">
      <t>ナイヨウ</t>
    </rPh>
    <rPh sb="3" eb="5">
      <t>リョコウ</t>
    </rPh>
    <rPh sb="5" eb="7">
      <t>クカン</t>
    </rPh>
    <rPh sb="8" eb="10">
      <t>ハッチャク</t>
    </rPh>
    <rPh sb="10" eb="12">
      <t>バショ</t>
    </rPh>
    <rPh sb="14" eb="16">
      <t>コウニュウ</t>
    </rPh>
    <rPh sb="16" eb="18">
      <t>ヒントウ</t>
    </rPh>
    <phoneticPr fontId="2"/>
  </si>
  <si>
    <t>単価</t>
    <rPh sb="0" eb="2">
      <t>タンカ</t>
    </rPh>
    <phoneticPr fontId="2"/>
  </si>
  <si>
    <t>数量</t>
    <rPh sb="0" eb="2">
      <t>スウリョウ</t>
    </rPh>
    <phoneticPr fontId="2"/>
  </si>
  <si>
    <t>金額</t>
    <rPh sb="0" eb="1">
      <t>キン</t>
    </rPh>
    <rPh sb="1" eb="2">
      <t>ガク</t>
    </rPh>
    <phoneticPr fontId="2"/>
  </si>
  <si>
    <t>※総務使用</t>
    <rPh sb="1" eb="3">
      <t>ソウム</t>
    </rPh>
    <rPh sb="3" eb="5">
      <t>シヨウ</t>
    </rPh>
    <phoneticPr fontId="2"/>
  </si>
  <si>
    <t>備品等</t>
    <rPh sb="0" eb="2">
      <t>ビヒン</t>
    </rPh>
    <rPh sb="2" eb="3">
      <t>トウ</t>
    </rPh>
    <phoneticPr fontId="2"/>
  </si>
  <si>
    <t>月度</t>
    <rPh sb="0" eb="2">
      <t>ガツド</t>
    </rPh>
    <phoneticPr fontId="2"/>
  </si>
  <si>
    <t>前月見込</t>
    <rPh sb="0" eb="2">
      <t>ゼンゲツ</t>
    </rPh>
    <rPh sb="2" eb="4">
      <t>ミコ</t>
    </rPh>
    <phoneticPr fontId="2"/>
  </si>
  <si>
    <t>当月実績</t>
    <rPh sb="0" eb="2">
      <t>トウゲツ</t>
    </rPh>
    <rPh sb="2" eb="4">
      <t>ジッセキ</t>
    </rPh>
    <phoneticPr fontId="2"/>
  </si>
  <si>
    <t>差異</t>
    <rPh sb="0" eb="2">
      <t>サイ</t>
    </rPh>
    <phoneticPr fontId="2"/>
  </si>
  <si>
    <t>差異区分</t>
    <rPh sb="0" eb="2">
      <t>サイ</t>
    </rPh>
    <rPh sb="2" eb="4">
      <t>クブン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</si>
</sst>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5" formatCode="&quot;¥&quot;#,##0;&quot;¥&quot;\-#,##0"/>
    <numFmt numFmtId="176" formatCode="[h]:mm"/>
    <numFmt numFmtId="177" formatCode="mm/dd"/>
    <numFmt numFmtId="178" formatCode="0_);[Red]\(0\)"/>
    <numFmt numFmtId="179" formatCode="0.0&quot;　日&quot;"/>
    <numFmt numFmtId="180" formatCode="0.0&quot;日&quot;"/>
    <numFmt numFmtId="181" formatCode="##&quot;日&quot;"/>
    <numFmt numFmtId="182" formatCode="##&quot;回&quot;"/>
    <numFmt numFmtId="183" formatCode="ggge"/>
    <numFmt numFmtId="184" formatCode="0#&quot;日&quot;"/>
    <numFmt numFmtId="185" formatCode="0.000_ "/>
    <numFmt numFmtId="186" formatCode="0\ &quot;日&quot;"/>
    <numFmt numFmtId="187" formatCode="0\ &quot;回&quot;"/>
    <numFmt numFmtId="188" formatCode="0.0\ &quot;日&quot;"/>
    <numFmt numFmtId="189" formatCode="&quot;¥&quot;#,##0_);[Red]\(&quot;¥&quot;#,##0\)"/>
    <numFmt numFmtId="190" formatCode="##&quot;分ｶｳﾝﾄ&quot;"/>
    <numFmt numFmtId="191" formatCode="ge\.mm\.dd\ \(aaa\)"/>
    <numFmt numFmtId="192" formatCode="#0\ &quot;回&quot;"/>
    <numFmt numFmtId="193" formatCode="0.00000000_);[Red]\(0.00000000\)"/>
    <numFmt numFmtId="194" formatCode="#0&quot;日&quot;"/>
    <numFmt numFmtId="195" formatCode="#0&quot;回&quot;"/>
    <numFmt numFmtId="196" formatCode="#,##0_ "/>
    <numFmt numFmtId="197" formatCode="0.0"/>
  </numFmts>
  <fonts count="41">
    <font>
      <sz val="11"/>
      <name val="ＭＳ Ｐゴシック"/>
      <charset val="128"/>
    </font>
    <font>
      <sz val="11"/>
      <name val="ＭＳ Ｐゴシック"/>
      <family val="3"/>
      <charset val="128"/>
    </font>
    <font>
      <sz val="6"/>
      <name val="ＭＳ Ｐゴシック"/>
      <family val="3"/>
      <charset val="128"/>
    </font>
    <font>
      <b/>
      <sz val="11"/>
      <name val="ＭＳ Ｐゴシック"/>
      <family val="3"/>
      <charset val="128"/>
    </font>
    <font>
      <sz val="8"/>
      <name val="ＭＳ Ｐゴシック"/>
      <family val="3"/>
      <charset val="128"/>
    </font>
    <font>
      <sz val="9"/>
      <name val="ＭＳ Ｐゴシック"/>
      <family val="3"/>
      <charset val="128"/>
    </font>
    <font>
      <sz val="12"/>
      <name val="ＭＳ Ｐゴシック"/>
      <family val="3"/>
      <charset val="128"/>
    </font>
    <font>
      <b/>
      <sz val="16"/>
      <name val="ＭＳ Ｐゴシック"/>
      <family val="3"/>
      <charset val="128"/>
    </font>
    <font>
      <sz val="11"/>
      <name val="ＭＳ Ｐゴシック"/>
      <family val="3"/>
      <charset val="128"/>
    </font>
    <font>
      <sz val="18"/>
      <name val="ＭＳ Ｐゴシック"/>
      <family val="3"/>
      <charset val="128"/>
    </font>
    <font>
      <u/>
      <sz val="36"/>
      <name val="ＭＳ Ｐゴシック"/>
      <family val="3"/>
      <charset val="128"/>
    </font>
    <font>
      <sz val="14"/>
      <name val="ＭＳ ゴシック"/>
      <family val="3"/>
      <charset val="128"/>
    </font>
    <font>
      <sz val="11"/>
      <color indexed="10"/>
      <name val="ＭＳ Ｐゴシック"/>
      <family val="3"/>
      <charset val="128"/>
    </font>
    <font>
      <sz val="10"/>
      <color indexed="23"/>
      <name val="ＭＳ Ｐゴシック"/>
      <family val="3"/>
      <charset val="128"/>
    </font>
    <font>
      <sz val="16"/>
      <name val="ＭＳ Ｐゴシック"/>
      <family val="3"/>
      <charset val="128"/>
    </font>
    <font>
      <sz val="11"/>
      <color indexed="22"/>
      <name val="ＭＳ Ｐゴシック"/>
      <family val="3"/>
      <charset val="128"/>
    </font>
    <font>
      <sz val="10"/>
      <name val="ＭＳ Ｐゴシック"/>
      <family val="3"/>
      <charset val="128"/>
    </font>
    <font>
      <sz val="14"/>
      <name val="ＭＳ Ｐゴシック"/>
      <family val="3"/>
      <charset val="128"/>
    </font>
    <font>
      <b/>
      <sz val="26"/>
      <name val="ＭＳ Ｐゴシック"/>
      <family val="3"/>
      <charset val="128"/>
    </font>
    <font>
      <sz val="16"/>
      <name val="ＭＳ ゴシック"/>
      <family val="3"/>
      <charset val="128"/>
    </font>
    <font>
      <sz val="9"/>
      <color indexed="10"/>
      <name val="ＭＳ Ｐゴシック"/>
      <family val="3"/>
      <charset val="128"/>
    </font>
    <font>
      <b/>
      <sz val="14"/>
      <name val="ＭＳ Ｐゴシック"/>
      <family val="3"/>
      <charset val="128"/>
    </font>
    <font>
      <b/>
      <sz val="12"/>
      <name val="ＭＳ Ｐゴシック"/>
      <family val="3"/>
      <charset val="128"/>
    </font>
    <font>
      <sz val="11"/>
      <color indexed="12"/>
      <name val="ＭＳ Ｐゴシック"/>
      <family val="3"/>
      <charset val="128"/>
    </font>
    <font>
      <u/>
      <sz val="11"/>
      <name val="ＭＳ Ｐゴシック"/>
      <family val="3"/>
      <charset val="128"/>
    </font>
    <font>
      <b/>
      <sz val="11"/>
      <color indexed="10"/>
      <name val="ＭＳ Ｐゴシック"/>
      <family val="3"/>
      <charset val="128"/>
    </font>
    <font>
      <b/>
      <sz val="11"/>
      <color indexed="12"/>
      <name val="ＭＳ Ｐゴシック"/>
      <family val="3"/>
      <charset val="128"/>
    </font>
    <font>
      <b/>
      <u/>
      <sz val="11"/>
      <color indexed="12"/>
      <name val="ＭＳ Ｐゴシック"/>
      <family val="3"/>
      <charset val="128"/>
    </font>
    <font>
      <b/>
      <sz val="11"/>
      <color indexed="14"/>
      <name val="ＭＳ Ｐゴシック"/>
      <family val="3"/>
      <charset val="128"/>
    </font>
    <font>
      <sz val="11"/>
      <color indexed="63"/>
      <name val="ＭＳ Ｐゴシック"/>
      <family val="3"/>
      <charset val="128"/>
    </font>
    <font>
      <sz val="11"/>
      <color indexed="18"/>
      <name val="ＭＳ Ｐゴシック"/>
      <family val="3"/>
      <charset val="128"/>
    </font>
    <font>
      <sz val="9"/>
      <color indexed="12"/>
      <name val="ＭＳ Ｐゴシック"/>
      <family val="3"/>
      <charset val="128"/>
    </font>
    <font>
      <sz val="24"/>
      <name val="ＭＳ Ｐゴシック"/>
      <family val="3"/>
      <charset val="128"/>
    </font>
    <font>
      <sz val="22"/>
      <name val="ＭＳ Ｐゴシック"/>
      <family val="3"/>
      <charset val="128"/>
    </font>
    <font>
      <b/>
      <sz val="22"/>
      <name val="ＭＳ Ｐゴシック"/>
      <family val="3"/>
      <charset val="128"/>
    </font>
    <font>
      <b/>
      <sz val="20"/>
      <name val="ＭＳ Ｐゴシック"/>
      <family val="3"/>
      <charset val="128"/>
    </font>
    <font>
      <sz val="20"/>
      <name val="ＭＳ Ｐゴシック"/>
      <family val="3"/>
      <charset val="128"/>
    </font>
    <font>
      <sz val="10.5"/>
      <name val="ＭＳ Ｐゴシック"/>
      <family val="3"/>
      <charset val="128"/>
    </font>
    <font>
      <sz val="15"/>
      <name val="ＭＳ Ｐゴシック"/>
      <family val="3"/>
      <charset val="128"/>
    </font>
    <font>
      <b/>
      <u/>
      <sz val="20"/>
      <name val="ＭＳ Ｐゴシック"/>
      <family val="3"/>
      <charset val="128"/>
    </font>
    <font>
      <u/>
      <sz val="20"/>
      <name val="ＭＳ Ｐゴシック"/>
      <family val="3"/>
      <charset val="128"/>
    </font>
  </fonts>
  <fills count="25">
    <fill>
      <patternFill patternType="none"/>
    </fill>
    <fill>
      <patternFill patternType="gray125"/>
    </fill>
    <fill>
      <patternFill patternType="solid">
        <fgColor indexed="42"/>
        <bgColor indexed="64"/>
      </patternFill>
    </fill>
    <fill>
      <patternFill patternType="solid">
        <fgColor indexed="11"/>
        <bgColor indexed="64"/>
      </patternFill>
    </fill>
    <fill>
      <patternFill patternType="darkUp"/>
    </fill>
    <fill>
      <patternFill patternType="lightGray">
        <fgColor indexed="22"/>
      </patternFill>
    </fill>
    <fill>
      <patternFill patternType="lightGray">
        <fgColor indexed="43"/>
      </patternFill>
    </fill>
    <fill>
      <patternFill patternType="solid">
        <fgColor indexed="22"/>
        <bgColor indexed="64"/>
      </patternFill>
    </fill>
    <fill>
      <patternFill patternType="solid">
        <fgColor indexed="63"/>
        <bgColor indexed="64"/>
      </patternFill>
    </fill>
    <fill>
      <patternFill patternType="solid">
        <fgColor indexed="43"/>
        <bgColor indexed="13"/>
      </patternFill>
    </fill>
    <fill>
      <patternFill patternType="solid">
        <fgColor indexed="43"/>
        <bgColor indexed="64"/>
      </patternFill>
    </fill>
    <fill>
      <patternFill patternType="lightGray">
        <fgColor indexed="47"/>
      </patternFill>
    </fill>
    <fill>
      <patternFill patternType="lightGray">
        <fgColor indexed="13"/>
      </patternFill>
    </fill>
    <fill>
      <patternFill patternType="gray0625">
        <fgColor indexed="10"/>
      </patternFill>
    </fill>
    <fill>
      <patternFill patternType="mediumGray">
        <fgColor indexed="22"/>
      </patternFill>
    </fill>
    <fill>
      <patternFill patternType="solid">
        <fgColor indexed="23"/>
        <bgColor indexed="64"/>
      </patternFill>
    </fill>
    <fill>
      <patternFill patternType="gray0625">
        <fgColor indexed="22"/>
      </patternFill>
    </fill>
    <fill>
      <patternFill patternType="solid">
        <fgColor indexed="13"/>
        <bgColor indexed="64"/>
      </patternFill>
    </fill>
    <fill>
      <patternFill patternType="gray125">
        <fgColor indexed="43"/>
      </patternFill>
    </fill>
    <fill>
      <patternFill patternType="solid">
        <fgColor theme="0" tint="-0.249977111117893"/>
        <bgColor indexed="64"/>
      </patternFill>
    </fill>
    <fill>
      <patternFill patternType="solid">
        <fgColor rgb="FFCCFFCC"/>
        <bgColor indexed="64"/>
      </patternFill>
    </fill>
    <fill>
      <patternFill patternType="solid">
        <fgColor rgb="FFFFFF99"/>
        <bgColor indexed="64"/>
      </patternFill>
    </fill>
    <fill>
      <patternFill patternType="solid">
        <fgColor rgb="FF333333"/>
        <bgColor indexed="64"/>
      </patternFill>
    </fill>
    <fill>
      <patternFill patternType="solid">
        <fgColor rgb="FFFFFF00"/>
        <bgColor indexed="64"/>
      </patternFill>
    </fill>
    <fill>
      <patternFill patternType="solid">
        <fgColor theme="0" tint="-0.14999847407452621"/>
        <bgColor indexed="64"/>
      </patternFill>
    </fill>
  </fills>
  <borders count="20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dashed">
        <color indexed="64"/>
      </left>
      <right/>
      <top/>
      <bottom/>
      <diagonal/>
    </border>
    <border>
      <left style="dashed">
        <color indexed="64"/>
      </left>
      <right/>
      <top style="thin">
        <color indexed="64"/>
      </top>
      <bottom style="thin">
        <color indexed="64"/>
      </bottom>
      <diagonal/>
    </border>
    <border>
      <left style="thin">
        <color indexed="64"/>
      </left>
      <right/>
      <top/>
      <bottom style="thin">
        <color indexed="64"/>
      </bottom>
      <diagonal/>
    </border>
    <border>
      <left style="dashed">
        <color indexed="64"/>
      </left>
      <right style="thin">
        <color indexed="64"/>
      </right>
      <top/>
      <bottom style="thin">
        <color indexed="64"/>
      </bottom>
      <diagonal/>
    </border>
    <border>
      <left style="thin">
        <color indexed="64"/>
      </left>
      <right/>
      <top style="thin">
        <color indexed="64"/>
      </top>
      <bottom/>
      <diagonal/>
    </border>
    <border>
      <left style="dashed">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top/>
      <bottom style="thin">
        <color indexed="64"/>
      </bottom>
      <diagonal/>
    </border>
    <border>
      <left/>
      <right style="hair">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top/>
      <bottom style="medium">
        <color indexed="12"/>
      </bottom>
      <diagonal/>
    </border>
    <border>
      <left/>
      <right style="medium">
        <color indexed="12"/>
      </right>
      <top/>
      <bottom style="medium">
        <color indexed="12"/>
      </bottom>
      <diagonal/>
    </border>
    <border>
      <left style="medium">
        <color indexed="12"/>
      </left>
      <right/>
      <top style="medium">
        <color indexed="12"/>
      </top>
      <bottom/>
      <diagonal/>
    </border>
    <border>
      <left/>
      <right/>
      <top style="dotted">
        <color indexed="64"/>
      </top>
      <bottom/>
      <diagonal/>
    </border>
    <border>
      <left/>
      <right/>
      <top/>
      <bottom style="dotted">
        <color indexed="64"/>
      </bottom>
      <diagonal/>
    </border>
    <border>
      <left/>
      <right style="dashDot">
        <color indexed="64"/>
      </right>
      <top style="dashDot">
        <color indexed="64"/>
      </top>
      <bottom/>
      <diagonal/>
    </border>
    <border>
      <left/>
      <right style="dashDot">
        <color indexed="64"/>
      </right>
      <top/>
      <bottom style="dashDot">
        <color indexed="64"/>
      </bottom>
      <diagonal/>
    </border>
    <border>
      <left/>
      <right/>
      <top style="dashDot">
        <color indexed="64"/>
      </top>
      <bottom/>
      <diagonal/>
    </border>
    <border>
      <left/>
      <right/>
      <top/>
      <bottom style="dashDot">
        <color indexed="64"/>
      </bottom>
      <diagonal/>
    </border>
    <border>
      <left style="medium">
        <color indexed="10"/>
      </left>
      <right style="medium">
        <color indexed="10"/>
      </right>
      <top style="medium">
        <color indexed="10"/>
      </top>
      <bottom/>
      <diagonal/>
    </border>
    <border>
      <left style="medium">
        <color indexed="10"/>
      </left>
      <right style="medium">
        <color indexed="10"/>
      </right>
      <top/>
      <bottom style="medium">
        <color indexed="10"/>
      </bottom>
      <diagonal/>
    </border>
    <border>
      <left/>
      <right style="dashDotDot">
        <color indexed="64"/>
      </right>
      <top style="dashDotDot">
        <color indexed="64"/>
      </top>
      <bottom/>
      <diagonal/>
    </border>
    <border>
      <left/>
      <right style="dashDotDot">
        <color indexed="64"/>
      </right>
      <top/>
      <bottom/>
      <diagonal/>
    </border>
    <border>
      <left/>
      <right style="dashDotDot">
        <color indexed="64"/>
      </right>
      <top/>
      <bottom style="dashDotDot">
        <color indexed="64"/>
      </bottom>
      <diagonal/>
    </border>
    <border>
      <left style="dashDot">
        <color indexed="64"/>
      </left>
      <right/>
      <top style="dashDot">
        <color indexed="64"/>
      </top>
      <bottom/>
      <diagonal/>
    </border>
    <border>
      <left style="dashDot">
        <color indexed="64"/>
      </left>
      <right/>
      <top/>
      <bottom style="dashDot">
        <color indexed="64"/>
      </bottom>
      <diagonal/>
    </border>
    <border>
      <left style="dashed">
        <color indexed="12"/>
      </left>
      <right/>
      <top style="dashed">
        <color indexed="12"/>
      </top>
      <bottom/>
      <diagonal/>
    </border>
    <border>
      <left/>
      <right/>
      <top style="dashed">
        <color indexed="12"/>
      </top>
      <bottom/>
      <diagonal/>
    </border>
    <border>
      <left/>
      <right style="dashed">
        <color indexed="12"/>
      </right>
      <top style="dashed">
        <color indexed="12"/>
      </top>
      <bottom/>
      <diagonal/>
    </border>
    <border>
      <left style="dashed">
        <color indexed="12"/>
      </left>
      <right/>
      <top/>
      <bottom/>
      <diagonal/>
    </border>
    <border>
      <left/>
      <right style="dashed">
        <color indexed="12"/>
      </right>
      <top/>
      <bottom/>
      <diagonal/>
    </border>
    <border>
      <left style="dashed">
        <color indexed="12"/>
      </left>
      <right/>
      <top/>
      <bottom style="dashed">
        <color indexed="12"/>
      </bottom>
      <diagonal/>
    </border>
    <border>
      <left/>
      <right/>
      <top/>
      <bottom style="dashed">
        <color indexed="12"/>
      </bottom>
      <diagonal/>
    </border>
    <border>
      <left/>
      <right style="dashed">
        <color indexed="12"/>
      </right>
      <top/>
      <bottom style="dashed">
        <color indexed="12"/>
      </bottom>
      <diagonal/>
    </border>
    <border>
      <left style="dashDotDot">
        <color indexed="64"/>
      </left>
      <right/>
      <top style="dashDotDot">
        <color indexed="64"/>
      </top>
      <bottom/>
      <diagonal/>
    </border>
    <border>
      <left style="dashDotDot">
        <color indexed="64"/>
      </left>
      <right/>
      <top/>
      <bottom/>
      <diagonal/>
    </border>
    <border>
      <left style="dashDotDot">
        <color indexed="64"/>
      </left>
      <right/>
      <top/>
      <bottom style="dashDotDot">
        <color indexed="64"/>
      </bottom>
      <diagonal/>
    </border>
    <border>
      <left/>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right/>
      <top style="double">
        <color indexed="64"/>
      </top>
      <bottom/>
      <diagonal/>
    </border>
    <border>
      <left style="double">
        <color indexed="64"/>
      </left>
      <right/>
      <top/>
      <bottom style="double">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double">
        <color indexed="64"/>
      </top>
      <bottom/>
      <diagonal/>
    </border>
    <border>
      <left style="thin">
        <color indexed="64"/>
      </left>
      <right style="thin">
        <color indexed="64"/>
      </right>
      <top style="double">
        <color indexed="64"/>
      </top>
      <bottom style="thin">
        <color indexed="64"/>
      </bottom>
      <diagonal/>
    </border>
    <border>
      <left style="double">
        <color indexed="64"/>
      </left>
      <right/>
      <top style="double">
        <color indexed="64"/>
      </top>
      <bottom/>
      <diagonal/>
    </border>
    <border>
      <left/>
      <right style="thin">
        <color indexed="64"/>
      </right>
      <top style="double">
        <color indexed="64"/>
      </top>
      <bottom/>
      <diagonal/>
    </border>
    <border>
      <left style="thin">
        <color indexed="64"/>
      </left>
      <right style="hair">
        <color indexed="64"/>
      </right>
      <top style="double">
        <color indexed="64"/>
      </top>
      <bottom/>
      <diagonal/>
    </border>
    <border>
      <left style="thin">
        <color indexed="64"/>
      </left>
      <right style="hair">
        <color indexed="64"/>
      </right>
      <top/>
      <bottom style="double">
        <color indexed="64"/>
      </bottom>
      <diagonal/>
    </border>
    <border>
      <left style="dashed">
        <color indexed="64"/>
      </left>
      <right style="medium">
        <color indexed="64"/>
      </right>
      <top style="dashed">
        <color indexed="64"/>
      </top>
      <bottom style="double">
        <color indexed="64"/>
      </bottom>
      <diagonal/>
    </border>
    <border>
      <left style="medium">
        <color indexed="64"/>
      </left>
      <right style="dashed">
        <color indexed="64"/>
      </right>
      <top style="medium">
        <color indexed="64"/>
      </top>
      <bottom style="double">
        <color indexed="64"/>
      </bottom>
      <diagonal/>
    </border>
    <border>
      <left/>
      <right style="medium">
        <color indexed="64"/>
      </right>
      <top style="medium">
        <color indexed="64"/>
      </top>
      <bottom style="double">
        <color indexed="64"/>
      </bottom>
      <diagonal/>
    </border>
    <border>
      <left style="double">
        <color indexed="64"/>
      </left>
      <right/>
      <top style="double">
        <color indexed="64"/>
      </top>
      <bottom style="hair">
        <color indexed="64"/>
      </bottom>
      <diagonal/>
    </border>
    <border>
      <left style="hair">
        <color indexed="64"/>
      </left>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right style="hair">
        <color indexed="64"/>
      </right>
      <top style="double">
        <color indexed="64"/>
      </top>
      <bottom style="hair">
        <color indexed="64"/>
      </bottom>
      <diagonal/>
    </border>
    <border>
      <left style="thin">
        <color indexed="64"/>
      </left>
      <right/>
      <top style="double">
        <color indexed="64"/>
      </top>
      <bottom style="hair">
        <color indexed="64"/>
      </bottom>
      <diagonal/>
    </border>
    <border>
      <left style="dashed">
        <color indexed="64"/>
      </left>
      <right style="medium">
        <color indexed="64"/>
      </right>
      <top style="double">
        <color indexed="64"/>
      </top>
      <bottom style="hair">
        <color indexed="64"/>
      </bottom>
      <diagonal/>
    </border>
    <border>
      <left style="medium">
        <color indexed="64"/>
      </left>
      <right style="dashed">
        <color indexed="64"/>
      </right>
      <top style="double">
        <color indexed="64"/>
      </top>
      <bottom style="hair">
        <color indexed="64"/>
      </bottom>
      <diagonal/>
    </border>
    <border>
      <left/>
      <right style="medium">
        <color indexed="64"/>
      </right>
      <top style="double">
        <color indexed="64"/>
      </top>
      <bottom style="hair">
        <color indexed="64"/>
      </bottom>
      <diagonal/>
    </border>
    <border>
      <left style="double">
        <color indexed="64"/>
      </left>
      <right/>
      <top style="hair">
        <color indexed="64"/>
      </top>
      <bottom style="hair">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top style="hair">
        <color indexed="64"/>
      </top>
      <bottom style="hair">
        <color indexed="64"/>
      </bottom>
      <diagonal/>
    </border>
    <border>
      <left style="dashed">
        <color indexed="64"/>
      </left>
      <right style="medium">
        <color indexed="64"/>
      </right>
      <top style="hair">
        <color indexed="64"/>
      </top>
      <bottom style="hair">
        <color indexed="64"/>
      </bottom>
      <diagonal/>
    </border>
    <border>
      <left style="medium">
        <color indexed="64"/>
      </left>
      <right style="dashed">
        <color indexed="64"/>
      </right>
      <top style="hair">
        <color indexed="64"/>
      </top>
      <bottom style="hair">
        <color indexed="64"/>
      </bottom>
      <diagonal/>
    </border>
    <border>
      <left/>
      <right style="medium">
        <color indexed="64"/>
      </right>
      <top style="hair">
        <color indexed="64"/>
      </top>
      <bottom style="hair">
        <color indexed="64"/>
      </bottom>
      <diagonal/>
    </border>
    <border>
      <left style="double">
        <color indexed="64"/>
      </left>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dashed">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dashed">
        <color indexed="64"/>
      </right>
      <top style="thin">
        <color indexed="64"/>
      </top>
      <bottom/>
      <diagonal/>
    </border>
    <border>
      <left style="thin">
        <color indexed="64"/>
      </left>
      <right style="double">
        <color indexed="64"/>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style="dashed">
        <color indexed="64"/>
      </right>
      <top style="thin">
        <color indexed="64"/>
      </top>
      <bottom style="double">
        <color indexed="64"/>
      </bottom>
      <diagonal/>
    </border>
    <border>
      <left style="thin">
        <color indexed="64"/>
      </left>
      <right style="thin">
        <color indexed="64"/>
      </right>
      <top style="double">
        <color indexed="64"/>
      </top>
      <bottom/>
      <diagonal/>
    </border>
    <border>
      <left/>
      <right/>
      <top style="double">
        <color indexed="64"/>
      </top>
      <bottom style="thin">
        <color indexed="64"/>
      </bottom>
      <diagonal/>
    </border>
    <border>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thin">
        <color indexed="64"/>
      </right>
      <top style="double">
        <color indexed="64"/>
      </top>
      <bottom style="hair">
        <color indexed="64"/>
      </bottom>
      <diagonal/>
    </border>
    <border>
      <left/>
      <right style="thin">
        <color indexed="64"/>
      </right>
      <top style="hair">
        <color indexed="64"/>
      </top>
      <bottom style="medium">
        <color indexed="64"/>
      </bottom>
      <diagonal/>
    </border>
    <border>
      <left style="thin">
        <color indexed="64"/>
      </left>
      <right style="hair">
        <color indexed="64"/>
      </right>
      <top style="medium">
        <color indexed="64"/>
      </top>
      <bottom/>
      <diagonal/>
    </border>
    <border>
      <left style="thin">
        <color indexed="64"/>
      </left>
      <right style="hair">
        <color indexed="64"/>
      </right>
      <top/>
      <bottom style="medium">
        <color indexed="64"/>
      </bottom>
      <diagonal/>
    </border>
    <border>
      <left style="thin">
        <color indexed="64"/>
      </left>
      <right/>
      <top/>
      <bottom style="medium">
        <color indexed="64"/>
      </bottom>
      <diagonal/>
    </border>
    <border>
      <left/>
      <right/>
      <top style="medium">
        <color indexed="64"/>
      </top>
      <bottom/>
      <diagonal/>
    </border>
    <border>
      <left/>
      <right style="hair">
        <color indexed="64"/>
      </right>
      <top style="medium">
        <color indexed="64"/>
      </top>
      <bottom/>
      <diagonal/>
    </border>
    <border>
      <left/>
      <right style="hair">
        <color indexed="64"/>
      </right>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medium">
        <color indexed="64"/>
      </top>
      <bottom/>
      <diagonal/>
    </border>
    <border>
      <left style="double">
        <color indexed="64"/>
      </left>
      <right/>
      <top/>
      <bottom style="thin">
        <color indexed="64"/>
      </bottom>
      <diagonal/>
    </border>
    <border>
      <left/>
      <right style="thin">
        <color indexed="13"/>
      </right>
      <top style="thin">
        <color indexed="13"/>
      </top>
      <bottom/>
      <diagonal/>
    </border>
    <border>
      <left/>
      <right/>
      <top style="thin">
        <color indexed="13"/>
      </top>
      <bottom/>
      <diagonal/>
    </border>
    <border>
      <left style="thin">
        <color indexed="13"/>
      </left>
      <right/>
      <top style="thin">
        <color indexed="13"/>
      </top>
      <bottom/>
      <diagonal/>
    </border>
    <border>
      <left/>
      <right style="double">
        <color indexed="64"/>
      </right>
      <top style="hair">
        <color indexed="64"/>
      </top>
      <bottom style="hair">
        <color indexed="64"/>
      </bottom>
      <diagonal/>
    </border>
    <border>
      <left style="double">
        <color indexed="64"/>
      </left>
      <right/>
      <top style="thin">
        <color indexed="64"/>
      </top>
      <bottom style="double">
        <color indexed="64"/>
      </bottom>
      <diagonal/>
    </border>
    <border>
      <left style="double">
        <color indexed="64"/>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top style="thin">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right style="double">
        <color indexed="64"/>
      </right>
      <top style="double">
        <color indexed="64"/>
      </top>
      <bottom/>
      <diagonal/>
    </border>
    <border>
      <left/>
      <right style="double">
        <color indexed="64"/>
      </right>
      <top/>
      <bottom style="double">
        <color indexed="64"/>
      </bottom>
      <diagonal/>
    </border>
    <border>
      <left/>
      <right/>
      <top style="double">
        <color indexed="64"/>
      </top>
      <bottom style="hair">
        <color indexed="64"/>
      </bottom>
      <diagonal/>
    </border>
    <border>
      <left/>
      <right style="double">
        <color indexed="64"/>
      </right>
      <top style="double">
        <color indexed="64"/>
      </top>
      <bottom style="hair">
        <color indexed="64"/>
      </bottom>
      <diagonal/>
    </border>
    <border>
      <left style="thin">
        <color indexed="64"/>
      </left>
      <right style="double">
        <color indexed="64"/>
      </right>
      <top style="thin">
        <color indexed="64"/>
      </top>
      <bottom style="dotted">
        <color indexed="64"/>
      </bottom>
      <diagonal/>
    </border>
    <border>
      <left style="thin">
        <color indexed="64"/>
      </left>
      <right/>
      <top style="double">
        <color indexed="64"/>
      </top>
      <bottom style="thin">
        <color indexed="64"/>
      </bottom>
      <diagonal/>
    </border>
    <border>
      <left/>
      <right style="double">
        <color indexed="64"/>
      </right>
      <top style="double">
        <color indexed="64"/>
      </top>
      <bottom style="thin">
        <color indexed="64"/>
      </bottom>
      <diagonal/>
    </border>
    <border>
      <left/>
      <right style="double">
        <color indexed="64"/>
      </right>
      <top style="thin">
        <color indexed="64"/>
      </top>
      <bottom style="thin">
        <color indexed="64"/>
      </bottom>
      <diagonal/>
    </border>
    <border>
      <left/>
      <right style="double">
        <color indexed="64"/>
      </right>
      <top style="thin">
        <color indexed="64"/>
      </top>
      <bottom style="double">
        <color indexed="64"/>
      </bottom>
      <diagonal/>
    </border>
    <border>
      <left/>
      <right style="thin">
        <color indexed="64"/>
      </right>
      <top style="thin">
        <color indexed="64"/>
      </top>
      <bottom style="dotted">
        <color indexed="64"/>
      </bottom>
      <diagonal/>
    </border>
    <border>
      <left style="double">
        <color indexed="64"/>
      </left>
      <right/>
      <top style="thin">
        <color indexed="64"/>
      </top>
      <bottom/>
      <diagonal/>
    </border>
    <border>
      <left style="thin">
        <color indexed="64"/>
      </left>
      <right style="double">
        <color indexed="64"/>
      </right>
      <top style="double">
        <color indexed="64"/>
      </top>
      <bottom style="thin">
        <color indexed="64"/>
      </bottom>
      <diagonal/>
    </border>
    <border>
      <left style="thin">
        <color indexed="64"/>
      </left>
      <right/>
      <top style="hair">
        <color indexed="64"/>
      </top>
      <bottom style="double">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right style="double">
        <color indexed="64"/>
      </right>
      <top style="hair">
        <color indexed="64"/>
      </top>
      <bottom style="double">
        <color indexed="64"/>
      </bottom>
      <diagonal/>
    </border>
    <border>
      <left/>
      <right style="double">
        <color indexed="64"/>
      </right>
      <top style="thin">
        <color indexed="64"/>
      </top>
      <bottom/>
      <diagonal/>
    </border>
    <border>
      <left/>
      <right style="dashed">
        <color indexed="64"/>
      </right>
      <top/>
      <bottom style="double">
        <color indexed="64"/>
      </bottom>
      <diagonal/>
    </border>
    <border>
      <left/>
      <right style="dashed">
        <color indexed="64"/>
      </right>
      <top style="double">
        <color indexed="64"/>
      </top>
      <bottom style="hair">
        <color indexed="64"/>
      </bottom>
      <diagonal/>
    </border>
    <border>
      <left/>
      <right style="dashed">
        <color indexed="64"/>
      </right>
      <top style="hair">
        <color indexed="64"/>
      </top>
      <bottom style="hair">
        <color indexed="64"/>
      </bottom>
      <diagonal/>
    </border>
    <border>
      <left/>
      <right style="dashed">
        <color indexed="64"/>
      </right>
      <top style="hair">
        <color indexed="64"/>
      </top>
      <bottom style="thin">
        <color indexed="64"/>
      </bottom>
      <diagonal/>
    </border>
    <border>
      <left style="hair">
        <color indexed="64"/>
      </left>
      <right/>
      <top style="medium">
        <color indexed="64"/>
      </top>
      <bottom style="hair">
        <color indexed="64"/>
      </bottom>
      <diagonal/>
    </border>
    <border>
      <left/>
      <right style="hair">
        <color indexed="64"/>
      </right>
      <top style="medium">
        <color indexed="64"/>
      </top>
      <bottom style="hair">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right/>
      <top style="hair">
        <color indexed="64"/>
      </top>
      <bottom style="medium">
        <color indexed="64"/>
      </bottom>
      <diagonal/>
    </border>
    <border>
      <left/>
      <right style="thin">
        <color indexed="64"/>
      </right>
      <top style="medium">
        <color indexed="64"/>
      </top>
      <bottom/>
      <diagonal/>
    </border>
    <border>
      <left style="thin">
        <color indexed="64"/>
      </left>
      <right/>
      <top style="thin">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top style="dotted">
        <color indexed="64"/>
      </top>
      <bottom/>
      <diagonal/>
    </border>
    <border>
      <left/>
      <right style="thin">
        <color indexed="64"/>
      </right>
      <top style="dotted">
        <color indexed="64"/>
      </top>
      <bottom/>
      <diagonal/>
    </border>
    <border>
      <left/>
      <right style="double">
        <color indexed="64"/>
      </right>
      <top/>
      <bottom style="thin">
        <color indexed="64"/>
      </bottom>
      <diagonal/>
    </border>
    <border>
      <left/>
      <right style="thin">
        <color auto="1"/>
      </right>
      <top style="thin">
        <color auto="1"/>
      </top>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double">
        <color indexed="64"/>
      </top>
      <bottom/>
      <diagonal/>
    </border>
    <border>
      <left/>
      <right style="medium">
        <color indexed="64"/>
      </right>
      <top style="double">
        <color indexed="64"/>
      </top>
      <bottom/>
      <diagonal/>
    </border>
    <border>
      <left style="medium">
        <color indexed="64"/>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style="thin">
        <color indexed="64"/>
      </bottom>
      <diagonal/>
    </border>
    <border>
      <left style="medium">
        <color indexed="64"/>
      </left>
      <right style="thin">
        <color indexed="64"/>
      </right>
      <top style="thin">
        <color indexed="64"/>
      </top>
      <bottom style="double">
        <color indexed="64"/>
      </bottom>
      <diagonal/>
    </border>
    <border>
      <left/>
      <right style="double">
        <color indexed="64"/>
      </right>
      <top style="hair">
        <color indexed="64"/>
      </top>
      <bottom style="thin">
        <color indexed="64"/>
      </bottom>
      <diagonal/>
    </border>
    <border>
      <left/>
      <right style="medium">
        <color indexed="64"/>
      </right>
      <top style="double">
        <color indexed="64"/>
      </top>
      <bottom style="thin">
        <color indexed="64"/>
      </bottom>
      <diagonal/>
    </border>
    <border>
      <left style="thin">
        <color indexed="13"/>
      </left>
      <right/>
      <top/>
      <bottom style="thin">
        <color indexed="13"/>
      </bottom>
      <diagonal/>
    </border>
    <border>
      <left/>
      <right/>
      <top/>
      <bottom style="thin">
        <color indexed="13"/>
      </bottom>
      <diagonal/>
    </border>
    <border>
      <left/>
      <right style="thin">
        <color indexed="13"/>
      </right>
      <top/>
      <bottom style="thin">
        <color indexed="13"/>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110">
    <xf numFmtId="0" fontId="0" fillId="0" borderId="0" xfId="0"/>
    <xf numFmtId="0" fontId="0" fillId="0" borderId="0" xfId="0" applyFill="1"/>
    <xf numFmtId="0" fontId="0" fillId="0" borderId="0" xfId="0" applyBorder="1"/>
    <xf numFmtId="0" fontId="0" fillId="2" borderId="1" xfId="0" applyFill="1" applyBorder="1"/>
    <xf numFmtId="0" fontId="0" fillId="2" borderId="2" xfId="0" applyFill="1" applyBorder="1"/>
    <xf numFmtId="0" fontId="0" fillId="0" borderId="0" xfId="0" applyAlignment="1">
      <alignment horizontal="center"/>
    </xf>
    <xf numFmtId="0" fontId="0" fillId="2" borderId="4" xfId="0" applyFill="1" applyBorder="1"/>
    <xf numFmtId="0" fontId="0" fillId="0" borderId="0" xfId="0" applyAlignment="1">
      <alignment horizontal="right"/>
    </xf>
    <xf numFmtId="0" fontId="0" fillId="0" borderId="5" xfId="0" applyBorder="1"/>
    <xf numFmtId="0" fontId="0" fillId="3" borderId="4" xfId="0" applyFill="1" applyBorder="1"/>
    <xf numFmtId="0" fontId="0" fillId="3" borderId="2" xfId="0" applyFill="1" applyBorder="1"/>
    <xf numFmtId="0" fontId="0" fillId="3" borderId="1" xfId="0" applyFill="1" applyBorder="1"/>
    <xf numFmtId="0" fontId="0" fillId="0" borderId="0" xfId="0" applyBorder="1" applyAlignment="1">
      <alignment horizontal="center"/>
    </xf>
    <xf numFmtId="0" fontId="0" fillId="0" borderId="0" xfId="0" applyAlignment="1"/>
    <xf numFmtId="0" fontId="0" fillId="0" borderId="6" xfId="0" applyBorder="1" applyAlignment="1"/>
    <xf numFmtId="0" fontId="0" fillId="0" borderId="0" xfId="0" applyBorder="1" applyAlignment="1"/>
    <xf numFmtId="0" fontId="0" fillId="0" borderId="5" xfId="0" applyBorder="1" applyAlignment="1">
      <alignment horizontal="center"/>
    </xf>
    <xf numFmtId="0" fontId="0" fillId="0" borderId="7" xfId="0" applyBorder="1"/>
    <xf numFmtId="0" fontId="0" fillId="3" borderId="8" xfId="0" applyFill="1" applyBorder="1"/>
    <xf numFmtId="0" fontId="0" fillId="0" borderId="7" xfId="0" applyBorder="1" applyAlignment="1">
      <alignment horizontal="center"/>
    </xf>
    <xf numFmtId="0" fontId="3" fillId="0" borderId="0" xfId="0" applyFont="1"/>
    <xf numFmtId="0" fontId="0" fillId="0" borderId="0" xfId="0" quotePrefix="1"/>
    <xf numFmtId="0" fontId="0" fillId="0" borderId="0" xfId="0" applyAlignment="1">
      <alignment horizontal="left" indent="1"/>
    </xf>
    <xf numFmtId="0" fontId="0" fillId="0" borderId="4" xfId="0" applyFill="1" applyBorder="1"/>
    <xf numFmtId="0" fontId="5" fillId="0" borderId="0" xfId="0" applyFont="1"/>
    <xf numFmtId="0" fontId="0" fillId="0" borderId="0" xfId="0" applyFill="1" applyAlignment="1">
      <alignment horizontal="center"/>
    </xf>
    <xf numFmtId="0" fontId="0" fillId="0" borderId="9" xfId="0" applyBorder="1"/>
    <xf numFmtId="0" fontId="0" fillId="0" borderId="10" xfId="0" applyBorder="1" applyAlignment="1">
      <alignment horizontal="center"/>
    </xf>
    <xf numFmtId="0" fontId="0" fillId="0" borderId="0" xfId="0" applyFill="1" applyBorder="1"/>
    <xf numFmtId="0" fontId="1" fillId="0" borderId="6" xfId="0" applyFont="1" applyFill="1" applyBorder="1" applyAlignment="1">
      <alignment horizontal="left"/>
    </xf>
    <xf numFmtId="0" fontId="0" fillId="0" borderId="11" xfId="0" applyBorder="1"/>
    <xf numFmtId="0" fontId="0" fillId="0" borderId="3" xfId="0" applyBorder="1" applyAlignment="1">
      <alignment horizontal="center"/>
    </xf>
    <xf numFmtId="0" fontId="0" fillId="4" borderId="5" xfId="0" applyFill="1" applyBorder="1" applyAlignment="1">
      <alignment horizontal="center"/>
    </xf>
    <xf numFmtId="0" fontId="0" fillId="4" borderId="0" xfId="0" applyFill="1"/>
    <xf numFmtId="0" fontId="0" fillId="5" borderId="0" xfId="0" applyFill="1"/>
    <xf numFmtId="0" fontId="0" fillId="6" borderId="6" xfId="0" applyFill="1" applyBorder="1" applyAlignment="1">
      <alignment horizontal="center"/>
    </xf>
    <xf numFmtId="0" fontId="0" fillId="6" borderId="7" xfId="0" applyFill="1" applyBorder="1" applyAlignment="1">
      <alignment horizontal="center"/>
    </xf>
    <xf numFmtId="0" fontId="0" fillId="6" borderId="5" xfId="0" applyFill="1" applyBorder="1" applyAlignment="1">
      <alignment horizontal="center"/>
    </xf>
    <xf numFmtId="0" fontId="3" fillId="0" borderId="0" xfId="0" applyFont="1" applyFill="1" applyAlignment="1">
      <alignment horizontal="center"/>
    </xf>
    <xf numFmtId="0" fontId="0" fillId="0" borderId="6" xfId="0" applyFill="1" applyBorder="1" applyAlignment="1">
      <alignment horizontal="center"/>
    </xf>
    <xf numFmtId="0" fontId="0" fillId="0" borderId="0" xfId="0" applyFill="1" applyAlignment="1">
      <alignment horizontal="center" vertical="center"/>
    </xf>
    <xf numFmtId="0" fontId="0" fillId="0" borderId="7" xfId="0" applyFill="1" applyBorder="1" applyAlignment="1">
      <alignment horizontal="center"/>
    </xf>
    <xf numFmtId="0" fontId="0" fillId="0" borderId="0" xfId="0" applyFill="1" applyBorder="1" applyAlignment="1">
      <alignment horizontal="center"/>
    </xf>
    <xf numFmtId="0" fontId="0" fillId="6" borderId="0" xfId="0" applyFill="1"/>
    <xf numFmtId="0" fontId="0" fillId="6" borderId="7" xfId="0" applyFill="1" applyBorder="1"/>
    <xf numFmtId="0" fontId="0" fillId="3" borderId="12" xfId="0" applyFill="1" applyBorder="1"/>
    <xf numFmtId="0" fontId="0" fillId="0" borderId="2" xfId="0" applyFill="1" applyBorder="1" applyAlignment="1">
      <alignment horizontal="center"/>
    </xf>
    <xf numFmtId="0" fontId="7" fillId="0" borderId="0" xfId="0" applyFont="1"/>
    <xf numFmtId="0" fontId="0" fillId="5" borderId="5" xfId="0" applyFill="1" applyBorder="1" applyAlignment="1">
      <alignment horizontal="center"/>
    </xf>
    <xf numFmtId="0" fontId="13" fillId="0" borderId="0" xfId="0" applyFont="1" applyAlignment="1">
      <alignment horizontal="left" indent="1"/>
    </xf>
    <xf numFmtId="0" fontId="13" fillId="0" borderId="0" xfId="0" applyFont="1"/>
    <xf numFmtId="0" fontId="0" fillId="7" borderId="13" xfId="0" applyFill="1" applyBorder="1" applyAlignment="1" applyProtection="1">
      <alignment horizontal="center"/>
    </xf>
    <xf numFmtId="176" fontId="0" fillId="0" borderId="0" xfId="0" applyNumberFormat="1" applyProtection="1"/>
    <xf numFmtId="0" fontId="0" fillId="7" borderId="14" xfId="0" applyFill="1" applyBorder="1" applyProtection="1"/>
    <xf numFmtId="0" fontId="0" fillId="7" borderId="4" xfId="0" applyFill="1" applyBorder="1" applyProtection="1"/>
    <xf numFmtId="0" fontId="0" fillId="7" borderId="2" xfId="0" applyFill="1" applyBorder="1" applyProtection="1"/>
    <xf numFmtId="0" fontId="0" fillId="7" borderId="11" xfId="0" applyFill="1" applyBorder="1" applyProtection="1"/>
    <xf numFmtId="0" fontId="0" fillId="0" borderId="0" xfId="0" applyProtection="1"/>
    <xf numFmtId="0" fontId="0" fillId="7" borderId="13" xfId="0" applyFill="1" applyBorder="1" applyProtection="1"/>
    <xf numFmtId="0" fontId="0" fillId="7" borderId="1" xfId="0" applyFill="1" applyBorder="1" applyProtection="1"/>
    <xf numFmtId="176" fontId="0" fillId="7" borderId="14" xfId="0" applyNumberFormat="1" applyFill="1" applyBorder="1" applyProtection="1"/>
    <xf numFmtId="20" fontId="0" fillId="7" borderId="2" xfId="0" applyNumberFormat="1" applyFill="1" applyBorder="1" applyAlignment="1" applyProtection="1">
      <alignment horizontal="left" vertical="center"/>
    </xf>
    <xf numFmtId="176" fontId="0" fillId="7" borderId="1" xfId="0" applyNumberFormat="1" applyFill="1" applyBorder="1" applyAlignment="1" applyProtection="1">
      <alignment horizontal="right" vertical="center"/>
    </xf>
    <xf numFmtId="176" fontId="0" fillId="7" borderId="13" xfId="0" applyNumberFormat="1" applyFill="1" applyBorder="1" applyAlignment="1" applyProtection="1">
      <alignment horizontal="center" vertical="center"/>
    </xf>
    <xf numFmtId="0" fontId="0" fillId="7" borderId="6" xfId="0" applyFill="1" applyBorder="1" applyAlignment="1" applyProtection="1">
      <alignment vertical="center"/>
    </xf>
    <xf numFmtId="0" fontId="0" fillId="7" borderId="5" xfId="0" applyFill="1" applyBorder="1" applyAlignment="1" applyProtection="1">
      <alignment vertical="center"/>
    </xf>
    <xf numFmtId="0" fontId="0" fillId="7" borderId="9" xfId="0" applyFill="1" applyBorder="1" applyAlignment="1" applyProtection="1">
      <alignment vertical="center"/>
    </xf>
    <xf numFmtId="0" fontId="0" fillId="7" borderId="1" xfId="0" applyFill="1" applyBorder="1" applyAlignment="1" applyProtection="1">
      <alignment vertical="center"/>
    </xf>
    <xf numFmtId="0" fontId="0" fillId="7" borderId="4" xfId="0" applyFill="1" applyBorder="1" applyAlignment="1" applyProtection="1">
      <alignment vertical="center"/>
    </xf>
    <xf numFmtId="0" fontId="0" fillId="7" borderId="2" xfId="0" applyFill="1" applyBorder="1" applyAlignment="1" applyProtection="1">
      <alignment vertical="center"/>
    </xf>
    <xf numFmtId="176" fontId="0" fillId="7" borderId="1" xfId="0" applyNumberFormat="1" applyFill="1" applyBorder="1" applyAlignment="1" applyProtection="1">
      <alignment vertical="center"/>
    </xf>
    <xf numFmtId="176" fontId="0" fillId="7" borderId="4" xfId="0" applyNumberFormat="1" applyFill="1" applyBorder="1" applyAlignment="1" applyProtection="1">
      <alignment vertical="center"/>
    </xf>
    <xf numFmtId="0" fontId="0" fillId="7" borderId="15" xfId="0" applyFill="1" applyBorder="1" applyAlignment="1" applyProtection="1">
      <alignment vertical="center"/>
    </xf>
    <xf numFmtId="0" fontId="0" fillId="7" borderId="16" xfId="0" applyFill="1" applyBorder="1" applyAlignment="1" applyProtection="1">
      <alignment vertical="center"/>
    </xf>
    <xf numFmtId="0" fontId="0" fillId="7" borderId="17" xfId="0" applyFill="1" applyBorder="1" applyAlignment="1" applyProtection="1">
      <alignment vertical="center"/>
    </xf>
    <xf numFmtId="0" fontId="0" fillId="7" borderId="18" xfId="0" applyFill="1" applyBorder="1" applyAlignment="1" applyProtection="1">
      <alignment vertical="center"/>
    </xf>
    <xf numFmtId="0" fontId="0" fillId="7" borderId="13" xfId="0" applyFill="1" applyBorder="1" applyAlignment="1" applyProtection="1">
      <alignment vertical="center"/>
    </xf>
    <xf numFmtId="0" fontId="0" fillId="0" borderId="0" xfId="0" applyAlignment="1" applyProtection="1">
      <alignment vertical="center"/>
    </xf>
    <xf numFmtId="0" fontId="0" fillId="7" borderId="19" xfId="0" applyFill="1" applyBorder="1" applyAlignment="1" applyProtection="1">
      <alignment horizontal="center" vertical="center"/>
    </xf>
    <xf numFmtId="176" fontId="0" fillId="7" borderId="19" xfId="0" applyNumberFormat="1" applyFill="1" applyBorder="1" applyAlignment="1" applyProtection="1">
      <alignment horizontal="center" vertical="center"/>
    </xf>
    <xf numFmtId="176" fontId="0" fillId="7" borderId="20" xfId="0" applyNumberFormat="1" applyFill="1" applyBorder="1" applyAlignment="1" applyProtection="1">
      <alignment horizontal="center" vertical="center"/>
    </xf>
    <xf numFmtId="176" fontId="0" fillId="7" borderId="21" xfId="0" applyNumberFormat="1" applyFill="1" applyBorder="1" applyAlignment="1" applyProtection="1">
      <alignment horizontal="center" vertical="center"/>
    </xf>
    <xf numFmtId="176" fontId="0" fillId="7" borderId="22" xfId="0" applyNumberFormat="1" applyFill="1" applyBorder="1" applyAlignment="1" applyProtection="1">
      <alignment horizontal="center" vertical="center"/>
    </xf>
    <xf numFmtId="176" fontId="0" fillId="7" borderId="23" xfId="0" applyNumberFormat="1" applyFill="1" applyBorder="1" applyAlignment="1" applyProtection="1">
      <alignment horizontal="center" vertical="center"/>
    </xf>
    <xf numFmtId="176" fontId="0" fillId="7" borderId="24" xfId="0" applyNumberFormat="1" applyFill="1" applyBorder="1" applyAlignment="1" applyProtection="1">
      <alignment horizontal="center" vertical="center"/>
    </xf>
    <xf numFmtId="176" fontId="5" fillId="7" borderId="21" xfId="0" applyNumberFormat="1" applyFont="1" applyFill="1" applyBorder="1" applyAlignment="1" applyProtection="1">
      <alignment horizontal="center" vertical="center" wrapText="1"/>
    </xf>
    <xf numFmtId="176" fontId="5" fillId="7" borderId="25" xfId="0" applyNumberFormat="1" applyFont="1" applyFill="1" applyBorder="1" applyAlignment="1" applyProtection="1">
      <alignment horizontal="center" vertical="center" wrapText="1"/>
    </xf>
    <xf numFmtId="176" fontId="0" fillId="7" borderId="26" xfId="0" applyNumberFormat="1" applyFill="1" applyBorder="1" applyAlignment="1" applyProtection="1">
      <alignment horizontal="center" vertical="center"/>
    </xf>
    <xf numFmtId="176" fontId="0" fillId="7" borderId="25" xfId="0" applyNumberFormat="1" applyFill="1" applyBorder="1" applyAlignment="1" applyProtection="1">
      <alignment horizontal="center" vertical="center"/>
    </xf>
    <xf numFmtId="176" fontId="0" fillId="7" borderId="27" xfId="0" applyNumberFormat="1" applyFill="1" applyBorder="1" applyAlignment="1" applyProtection="1">
      <alignment horizontal="center" vertical="center"/>
    </xf>
    <xf numFmtId="178" fontId="0" fillId="7" borderId="19" xfId="0" applyNumberFormat="1" applyFill="1" applyBorder="1" applyAlignment="1" applyProtection="1">
      <alignment horizontal="center" vertical="center"/>
    </xf>
    <xf numFmtId="177" fontId="0" fillId="0" borderId="13" xfId="0" applyNumberFormat="1" applyBorder="1" applyAlignment="1" applyProtection="1">
      <alignment horizontal="center"/>
    </xf>
    <xf numFmtId="176" fontId="1" fillId="0" borderId="9" xfId="0" applyNumberFormat="1" applyFont="1" applyFill="1" applyBorder="1" applyProtection="1"/>
    <xf numFmtId="176" fontId="1" fillId="0" borderId="13" xfId="0" applyNumberFormat="1" applyFont="1" applyFill="1" applyBorder="1" applyProtection="1"/>
    <xf numFmtId="176" fontId="0" fillId="0" borderId="2" xfId="0" applyNumberFormat="1" applyFill="1" applyBorder="1" applyProtection="1"/>
    <xf numFmtId="176" fontId="0" fillId="0" borderId="21" xfId="0" applyNumberFormat="1" applyFill="1" applyBorder="1" applyAlignment="1" applyProtection="1">
      <alignment horizontal="center"/>
    </xf>
    <xf numFmtId="176" fontId="0" fillId="0" borderId="22" xfId="0" applyNumberFormat="1" applyFill="1" applyBorder="1" applyAlignment="1" applyProtection="1">
      <alignment horizontal="center"/>
    </xf>
    <xf numFmtId="176" fontId="0" fillId="0" borderId="21" xfId="0" applyNumberFormat="1" applyFill="1" applyBorder="1" applyProtection="1"/>
    <xf numFmtId="20" fontId="0" fillId="0" borderId="28" xfId="0" applyNumberFormat="1" applyFill="1" applyBorder="1" applyProtection="1"/>
    <xf numFmtId="0" fontId="1" fillId="0" borderId="21" xfId="0" applyNumberFormat="1" applyFont="1" applyFill="1" applyBorder="1" applyAlignment="1" applyProtection="1">
      <alignment horizontal="center"/>
    </xf>
    <xf numFmtId="0" fontId="0" fillId="0" borderId="23" xfId="0" applyNumberFormat="1" applyFill="1" applyBorder="1" applyAlignment="1" applyProtection="1">
      <alignment horizontal="center"/>
    </xf>
    <xf numFmtId="0" fontId="0" fillId="0" borderId="22" xfId="0" applyNumberFormat="1" applyFill="1" applyBorder="1" applyProtection="1"/>
    <xf numFmtId="20" fontId="0" fillId="0" borderId="21" xfId="0" applyNumberFormat="1" applyFill="1" applyBorder="1" applyProtection="1"/>
    <xf numFmtId="176" fontId="0" fillId="0" borderId="25" xfId="0" applyNumberFormat="1" applyFill="1" applyBorder="1" applyAlignment="1" applyProtection="1">
      <alignment horizontal="center"/>
    </xf>
    <xf numFmtId="20" fontId="0" fillId="0" borderId="13" xfId="0" applyNumberFormat="1" applyFill="1" applyBorder="1" applyProtection="1"/>
    <xf numFmtId="0" fontId="0" fillId="0" borderId="0" xfId="0" applyFill="1" applyProtection="1"/>
    <xf numFmtId="0" fontId="0" fillId="7" borderId="29" xfId="0" applyFill="1" applyBorder="1" applyProtection="1"/>
    <xf numFmtId="0" fontId="0" fillId="7" borderId="30" xfId="0" applyFill="1" applyBorder="1" applyProtection="1"/>
    <xf numFmtId="176" fontId="1" fillId="7" borderId="31" xfId="0" applyNumberFormat="1" applyFont="1" applyFill="1" applyBorder="1" applyProtection="1"/>
    <xf numFmtId="0" fontId="0" fillId="0" borderId="0" xfId="0" applyNumberFormat="1" applyFill="1" applyBorder="1" applyProtection="1"/>
    <xf numFmtId="176" fontId="0" fillId="0" borderId="0" xfId="0" applyNumberFormat="1" applyFill="1" applyBorder="1" applyProtection="1"/>
    <xf numFmtId="0" fontId="0" fillId="0" borderId="0" xfId="0" applyFill="1" applyBorder="1" applyProtection="1"/>
    <xf numFmtId="20" fontId="0" fillId="7" borderId="31" xfId="0" applyNumberFormat="1" applyFill="1" applyBorder="1" applyProtection="1"/>
    <xf numFmtId="0" fontId="0" fillId="0" borderId="0" xfId="0" applyAlignment="1" applyProtection="1">
      <alignment horizontal="center"/>
    </xf>
    <xf numFmtId="0" fontId="0" fillId="0" borderId="0" xfId="0" applyNumberFormat="1" applyProtection="1"/>
    <xf numFmtId="176" fontId="0" fillId="0" borderId="0" xfId="0" applyNumberFormat="1" applyBorder="1" applyProtection="1"/>
    <xf numFmtId="176" fontId="3" fillId="7" borderId="31" xfId="0" applyNumberFormat="1" applyFont="1" applyFill="1" applyBorder="1" applyProtection="1"/>
    <xf numFmtId="0" fontId="0" fillId="7" borderId="0" xfId="0" applyFill="1" applyProtection="1"/>
    <xf numFmtId="0" fontId="0" fillId="7" borderId="0" xfId="0" applyFill="1" applyAlignment="1" applyProtection="1">
      <alignment horizontal="center"/>
    </xf>
    <xf numFmtId="0" fontId="0" fillId="7" borderId="2" xfId="0" applyFill="1" applyBorder="1" applyAlignment="1" applyProtection="1">
      <alignment horizontal="center"/>
    </xf>
    <xf numFmtId="14" fontId="0" fillId="7" borderId="13" xfId="0" applyNumberFormat="1" applyFill="1" applyBorder="1" applyProtection="1"/>
    <xf numFmtId="0" fontId="16" fillId="7" borderId="33" xfId="0" applyFont="1" applyFill="1" applyBorder="1" applyProtection="1"/>
    <xf numFmtId="0" fontId="16" fillId="7" borderId="19" xfId="0" applyFont="1" applyFill="1" applyBorder="1" applyProtection="1"/>
    <xf numFmtId="20" fontId="3" fillId="0" borderId="13" xfId="0" applyNumberFormat="1" applyFont="1" applyFill="1" applyBorder="1" applyProtection="1"/>
    <xf numFmtId="176" fontId="0" fillId="0" borderId="21" xfId="0" applyNumberFormat="1" applyFill="1" applyBorder="1" applyProtection="1">
      <protection locked="0"/>
    </xf>
    <xf numFmtId="176" fontId="0" fillId="0" borderId="22" xfId="0" applyNumberFormat="1" applyFill="1" applyBorder="1" applyProtection="1">
      <protection locked="0"/>
    </xf>
    <xf numFmtId="0" fontId="0" fillId="0" borderId="6" xfId="0" applyFill="1" applyBorder="1" applyAlignment="1" applyProtection="1">
      <alignment vertical="center"/>
    </xf>
    <xf numFmtId="0" fontId="0" fillId="7" borderId="4" xfId="0" applyFill="1" applyBorder="1" applyAlignment="1" applyProtection="1">
      <alignment horizontal="center"/>
    </xf>
    <xf numFmtId="0" fontId="0" fillId="7" borderId="5" xfId="0" applyFill="1" applyBorder="1" applyAlignment="1" applyProtection="1">
      <alignment horizontal="center" vertical="center"/>
    </xf>
    <xf numFmtId="0" fontId="0" fillId="0" borderId="2" xfId="0" applyFill="1" applyBorder="1" applyAlignment="1" applyProtection="1">
      <alignment horizontal="center"/>
    </xf>
    <xf numFmtId="0" fontId="0" fillId="7" borderId="15" xfId="0" applyFill="1" applyBorder="1" applyAlignment="1" applyProtection="1">
      <alignment horizontal="center" vertical="center"/>
    </xf>
    <xf numFmtId="0" fontId="0" fillId="7" borderId="20" xfId="0" applyFill="1" applyBorder="1" applyAlignment="1" applyProtection="1">
      <alignment horizontal="center" vertical="center"/>
    </xf>
    <xf numFmtId="0" fontId="0" fillId="0" borderId="21" xfId="0" applyFill="1" applyBorder="1" applyAlignment="1" applyProtection="1">
      <alignment horizontal="center"/>
    </xf>
    <xf numFmtId="0" fontId="0" fillId="7" borderId="5" xfId="0" applyFill="1" applyBorder="1" applyProtection="1"/>
    <xf numFmtId="14" fontId="0" fillId="7" borderId="13" xfId="0" applyNumberFormat="1" applyFill="1" applyBorder="1" applyAlignment="1" applyProtection="1">
      <alignment horizontal="center"/>
    </xf>
    <xf numFmtId="0" fontId="0" fillId="7" borderId="13" xfId="0" applyFill="1" applyBorder="1" applyAlignment="1" applyProtection="1">
      <alignment horizontal="center" vertical="center"/>
    </xf>
    <xf numFmtId="176" fontId="0" fillId="7" borderId="13" xfId="0" applyNumberFormat="1" applyFill="1" applyBorder="1" applyAlignment="1" applyProtection="1">
      <alignment horizontal="center"/>
    </xf>
    <xf numFmtId="182" fontId="0" fillId="7" borderId="31" xfId="0" applyNumberFormat="1" applyFill="1" applyBorder="1" applyAlignment="1" applyProtection="1">
      <alignment horizontal="center"/>
    </xf>
    <xf numFmtId="178" fontId="0" fillId="0" borderId="13" xfId="0" applyNumberFormat="1" applyFill="1" applyBorder="1" applyAlignment="1" applyProtection="1">
      <alignment horizontal="center"/>
    </xf>
    <xf numFmtId="0" fontId="0" fillId="7" borderId="21" xfId="0" applyFill="1" applyBorder="1" applyAlignment="1" applyProtection="1">
      <alignment horizontal="center"/>
    </xf>
    <xf numFmtId="176" fontId="0" fillId="0" borderId="11" xfId="0" applyNumberFormat="1" applyFill="1" applyBorder="1" applyProtection="1"/>
    <xf numFmtId="181" fontId="0" fillId="0" borderId="14" xfId="0" applyNumberFormat="1" applyFill="1" applyBorder="1" applyAlignment="1" applyProtection="1">
      <alignment horizontal="center"/>
    </xf>
    <xf numFmtId="176" fontId="0" fillId="0" borderId="14" xfId="0" applyNumberFormat="1" applyFill="1" applyBorder="1" applyProtection="1"/>
    <xf numFmtId="20" fontId="0" fillId="7" borderId="13" xfId="0" applyNumberFormat="1" applyFill="1" applyBorder="1" applyAlignment="1" applyProtection="1">
      <alignment horizontal="center" vertical="center"/>
    </xf>
    <xf numFmtId="0" fontId="0" fillId="8" borderId="0" xfId="0" applyFill="1" applyProtection="1"/>
    <xf numFmtId="0" fontId="0" fillId="8" borderId="0" xfId="0" applyFill="1" applyBorder="1" applyProtection="1"/>
    <xf numFmtId="0" fontId="0" fillId="8" borderId="0" xfId="0" applyFill="1" applyAlignment="1" applyProtection="1">
      <alignment vertical="center"/>
    </xf>
    <xf numFmtId="14" fontId="0" fillId="8" borderId="0" xfId="0" applyNumberFormat="1" applyFill="1" applyBorder="1" applyProtection="1"/>
    <xf numFmtId="14" fontId="0" fillId="8" borderId="0" xfId="0" applyNumberFormat="1" applyFill="1" applyBorder="1" applyAlignment="1" applyProtection="1">
      <alignment horizontal="center"/>
    </xf>
    <xf numFmtId="14" fontId="0" fillId="8" borderId="4" xfId="0" applyNumberFormat="1" applyFill="1" applyBorder="1" applyAlignment="1" applyProtection="1">
      <alignment horizontal="center"/>
    </xf>
    <xf numFmtId="0" fontId="0" fillId="8" borderId="0" xfId="0" applyFill="1" applyBorder="1" applyAlignment="1" applyProtection="1">
      <alignment horizontal="center"/>
    </xf>
    <xf numFmtId="0" fontId="15" fillId="8" borderId="0" xfId="0" applyFont="1" applyFill="1" applyProtection="1"/>
    <xf numFmtId="0" fontId="0" fillId="8" borderId="0" xfId="0" applyFill="1" applyAlignment="1" applyProtection="1">
      <alignment horizontal="center"/>
    </xf>
    <xf numFmtId="0" fontId="0" fillId="8" borderId="0" xfId="0" applyFill="1" applyAlignment="1" applyProtection="1">
      <alignment horizontal="center" vertical="center"/>
    </xf>
    <xf numFmtId="184" fontId="0" fillId="7" borderId="13" xfId="0" applyNumberFormat="1" applyFill="1" applyBorder="1" applyAlignment="1" applyProtection="1">
      <alignment horizontal="center"/>
    </xf>
    <xf numFmtId="184" fontId="0" fillId="7" borderId="34" xfId="0" applyNumberFormat="1" applyFill="1" applyBorder="1" applyAlignment="1" applyProtection="1">
      <alignment horizontal="center"/>
    </xf>
    <xf numFmtId="184" fontId="0" fillId="7" borderId="32" xfId="0" applyNumberFormat="1" applyFill="1" applyBorder="1" applyAlignment="1" applyProtection="1">
      <alignment horizontal="center"/>
    </xf>
    <xf numFmtId="184" fontId="0" fillId="7" borderId="31" xfId="0" applyNumberFormat="1" applyFill="1" applyBorder="1" applyAlignment="1" applyProtection="1">
      <alignment horizontal="center"/>
    </xf>
    <xf numFmtId="0" fontId="0" fillId="7" borderId="0" xfId="0" applyFill="1" applyBorder="1" applyProtection="1"/>
    <xf numFmtId="176" fontId="0" fillId="8" borderId="0" xfId="0" applyNumberFormat="1" applyFill="1" applyProtection="1"/>
    <xf numFmtId="0" fontId="0" fillId="8" borderId="0" xfId="0" applyNumberFormat="1" applyFill="1" applyProtection="1"/>
    <xf numFmtId="176" fontId="0" fillId="8" borderId="0" xfId="0" applyNumberFormat="1" applyFill="1" applyBorder="1" applyProtection="1"/>
    <xf numFmtId="14" fontId="0" fillId="7" borderId="0" xfId="0" applyNumberFormat="1" applyFill="1" applyBorder="1" applyAlignment="1" applyProtection="1">
      <alignment horizontal="center"/>
    </xf>
    <xf numFmtId="14" fontId="0" fillId="7" borderId="0" xfId="0" applyNumberFormat="1" applyFill="1" applyBorder="1" applyProtection="1"/>
    <xf numFmtId="0" fontId="15" fillId="7" borderId="0" xfId="0" applyFont="1" applyFill="1" applyBorder="1" applyProtection="1"/>
    <xf numFmtId="0" fontId="0" fillId="7" borderId="1" xfId="0" applyFill="1" applyBorder="1" applyAlignment="1" applyProtection="1">
      <alignment horizontal="center"/>
    </xf>
    <xf numFmtId="14" fontId="0" fillId="7" borderId="4" xfId="0" applyNumberFormat="1" applyFill="1" applyBorder="1" applyAlignment="1" applyProtection="1">
      <alignment horizontal="center"/>
    </xf>
    <xf numFmtId="0" fontId="0" fillId="8" borderId="11" xfId="0" applyFill="1" applyBorder="1" applyProtection="1"/>
    <xf numFmtId="0" fontId="0" fillId="8" borderId="6" xfId="0" applyFill="1" applyBorder="1" applyProtection="1"/>
    <xf numFmtId="180" fontId="1" fillId="0" borderId="13" xfId="0" applyNumberFormat="1" applyFont="1" applyFill="1" applyBorder="1" applyAlignment="1" applyProtection="1">
      <alignment horizontal="center"/>
    </xf>
    <xf numFmtId="181" fontId="3" fillId="0" borderId="13" xfId="0" applyNumberFormat="1" applyFont="1" applyFill="1" applyBorder="1" applyAlignment="1" applyProtection="1">
      <alignment horizontal="center"/>
    </xf>
    <xf numFmtId="176" fontId="1" fillId="0" borderId="13" xfId="0" applyNumberFormat="1" applyFont="1" applyFill="1" applyBorder="1" applyAlignment="1" applyProtection="1">
      <alignment horizontal="center"/>
    </xf>
    <xf numFmtId="0" fontId="1" fillId="7" borderId="14" xfId="0" applyFont="1" applyFill="1" applyBorder="1" applyProtection="1"/>
    <xf numFmtId="0" fontId="1" fillId="7" borderId="4" xfId="0" applyFont="1" applyFill="1" applyBorder="1" applyProtection="1"/>
    <xf numFmtId="0" fontId="1" fillId="7" borderId="2" xfId="0" applyFont="1" applyFill="1" applyBorder="1" applyProtection="1"/>
    <xf numFmtId="0" fontId="1" fillId="7" borderId="11" xfId="0" applyFont="1" applyFill="1" applyBorder="1" applyProtection="1"/>
    <xf numFmtId="176" fontId="1" fillId="7" borderId="14" xfId="0" applyNumberFormat="1" applyFont="1" applyFill="1" applyBorder="1" applyProtection="1"/>
    <xf numFmtId="0" fontId="1" fillId="7" borderId="3" xfId="0" applyFont="1" applyFill="1" applyBorder="1" applyProtection="1"/>
    <xf numFmtId="0" fontId="1" fillId="0" borderId="14" xfId="0" applyFont="1" applyFill="1" applyBorder="1" applyProtection="1"/>
    <xf numFmtId="0" fontId="0" fillId="0" borderId="14" xfId="0" applyFill="1" applyBorder="1" applyProtection="1"/>
    <xf numFmtId="176" fontId="20" fillId="7" borderId="14" xfId="0" applyNumberFormat="1" applyFont="1" applyFill="1" applyBorder="1" applyAlignment="1" applyProtection="1">
      <alignment horizontal="left"/>
    </xf>
    <xf numFmtId="0" fontId="0" fillId="0" borderId="14" xfId="0" applyFill="1" applyBorder="1" applyAlignment="1" applyProtection="1">
      <alignment horizontal="center"/>
    </xf>
    <xf numFmtId="176" fontId="1" fillId="0" borderId="14" xfId="0" applyNumberFormat="1" applyFont="1" applyFill="1" applyBorder="1" applyProtection="1"/>
    <xf numFmtId="176" fontId="1" fillId="0" borderId="3" xfId="0" applyNumberFormat="1" applyFont="1" applyFill="1" applyBorder="1" applyProtection="1"/>
    <xf numFmtId="176" fontId="3" fillId="0" borderId="13" xfId="0" applyNumberFormat="1" applyFont="1" applyFill="1" applyBorder="1" applyProtection="1"/>
    <xf numFmtId="0" fontId="0" fillId="7" borderId="0" xfId="0" applyFill="1" applyAlignment="1" applyProtection="1">
      <alignment horizontal="left"/>
    </xf>
    <xf numFmtId="57" fontId="1" fillId="7" borderId="35" xfId="0" applyNumberFormat="1" applyFont="1" applyFill="1" applyBorder="1" applyAlignment="1" applyProtection="1">
      <alignment horizontal="center"/>
    </xf>
    <xf numFmtId="57" fontId="1" fillId="7" borderId="36" xfId="0" applyNumberFormat="1" applyFont="1" applyFill="1" applyBorder="1" applyAlignment="1" applyProtection="1">
      <alignment horizontal="center"/>
    </xf>
    <xf numFmtId="184" fontId="0" fillId="7" borderId="37" xfId="0" applyNumberFormat="1" applyFill="1" applyBorder="1" applyProtection="1"/>
    <xf numFmtId="0" fontId="3" fillId="9" borderId="13" xfId="0" applyFont="1" applyFill="1" applyBorder="1" applyAlignment="1" applyProtection="1">
      <alignment horizontal="center"/>
      <protection locked="0"/>
    </xf>
    <xf numFmtId="20" fontId="0" fillId="9" borderId="13" xfId="0" applyNumberFormat="1" applyFill="1" applyBorder="1" applyAlignment="1" applyProtection="1">
      <alignment horizontal="center" vertical="center"/>
      <protection locked="0"/>
    </xf>
    <xf numFmtId="176" fontId="0" fillId="10" borderId="21" xfId="0" applyNumberFormat="1" applyFill="1" applyBorder="1" applyProtection="1">
      <protection locked="0"/>
    </xf>
    <xf numFmtId="176" fontId="0" fillId="10" borderId="22" xfId="0" applyNumberFormat="1" applyFill="1" applyBorder="1" applyProtection="1">
      <protection locked="0"/>
    </xf>
    <xf numFmtId="0" fontId="3" fillId="7" borderId="31" xfId="0" applyNumberFormat="1" applyFont="1" applyFill="1" applyBorder="1" applyProtection="1"/>
    <xf numFmtId="185" fontId="3" fillId="0" borderId="13" xfId="0" applyNumberFormat="1" applyFont="1" applyFill="1" applyBorder="1" applyProtection="1"/>
    <xf numFmtId="176" fontId="1" fillId="7" borderId="13" xfId="0" applyNumberFormat="1" applyFont="1" applyFill="1" applyBorder="1" applyAlignment="1" applyProtection="1">
      <alignment horizontal="center"/>
    </xf>
    <xf numFmtId="0" fontId="0" fillId="0" borderId="1" xfId="0" applyBorder="1"/>
    <xf numFmtId="0" fontId="0" fillId="0" borderId="4" xfId="0" applyBorder="1"/>
    <xf numFmtId="0" fontId="0" fillId="0" borderId="2" xfId="0" applyBorder="1"/>
    <xf numFmtId="0" fontId="0" fillId="0" borderId="0" xfId="0" applyFill="1" applyBorder="1" applyAlignment="1">
      <alignment horizontal="right"/>
    </xf>
    <xf numFmtId="0" fontId="0" fillId="0" borderId="6" xfId="0" applyBorder="1"/>
    <xf numFmtId="0" fontId="0" fillId="0" borderId="38" xfId="0" applyBorder="1"/>
    <xf numFmtId="0" fontId="0" fillId="0" borderId="39" xfId="0" applyBorder="1"/>
    <xf numFmtId="0" fontId="0" fillId="0" borderId="40" xfId="0" applyBorder="1"/>
    <xf numFmtId="0" fontId="0" fillId="0" borderId="41" xfId="0" applyBorder="1"/>
    <xf numFmtId="0" fontId="0" fillId="0" borderId="0" xfId="0" quotePrefix="1" applyBorder="1"/>
    <xf numFmtId="0" fontId="0" fillId="0" borderId="0" xfId="0" quotePrefix="1" applyBorder="1" applyAlignment="1">
      <alignment horizontal="left" indent="1"/>
    </xf>
    <xf numFmtId="0" fontId="0" fillId="0" borderId="42" xfId="0" applyBorder="1"/>
    <xf numFmtId="0" fontId="0" fillId="0" borderId="43" xfId="0" applyBorder="1"/>
    <xf numFmtId="0" fontId="0" fillId="0" borderId="44" xfId="0" applyBorder="1"/>
    <xf numFmtId="176" fontId="0" fillId="7" borderId="4" xfId="0" applyNumberFormat="1" applyFill="1" applyBorder="1" applyProtection="1"/>
    <xf numFmtId="176" fontId="0" fillId="7" borderId="3" xfId="0" applyNumberFormat="1" applyFill="1" applyBorder="1" applyAlignment="1" applyProtection="1">
      <alignment horizontal="center" vertical="center"/>
    </xf>
    <xf numFmtId="176" fontId="0" fillId="7" borderId="18" xfId="0" applyNumberFormat="1" applyFill="1" applyBorder="1" applyAlignment="1" applyProtection="1">
      <alignment horizontal="center" vertical="center"/>
    </xf>
    <xf numFmtId="176" fontId="0" fillId="7" borderId="6" xfId="0" applyNumberFormat="1" applyFill="1" applyBorder="1" applyAlignment="1" applyProtection="1">
      <alignment horizontal="center" vertical="center"/>
    </xf>
    <xf numFmtId="176" fontId="20" fillId="7" borderId="0" xfId="0" applyNumberFormat="1" applyFont="1" applyFill="1" applyBorder="1" applyAlignment="1" applyProtection="1">
      <alignment horizontal="left"/>
    </xf>
    <xf numFmtId="0" fontId="1" fillId="7" borderId="1" xfId="0" applyFont="1" applyFill="1" applyBorder="1" applyProtection="1"/>
    <xf numFmtId="176" fontId="1" fillId="7" borderId="4" xfId="0" applyNumberFormat="1" applyFont="1" applyFill="1" applyBorder="1" applyProtection="1"/>
    <xf numFmtId="0" fontId="0" fillId="7" borderId="0" xfId="0" applyFill="1" applyBorder="1" applyAlignment="1" applyProtection="1">
      <alignment vertical="center"/>
    </xf>
    <xf numFmtId="176" fontId="0" fillId="10" borderId="20" xfId="0" applyNumberFormat="1" applyFill="1" applyBorder="1" applyProtection="1">
      <protection locked="0"/>
    </xf>
    <xf numFmtId="176" fontId="0" fillId="10" borderId="26" xfId="0" applyNumberFormat="1" applyFill="1" applyBorder="1" applyProtection="1">
      <protection locked="0"/>
    </xf>
    <xf numFmtId="20" fontId="0" fillId="7" borderId="1" xfId="0" applyNumberFormat="1" applyFill="1" applyBorder="1" applyAlignment="1" applyProtection="1">
      <alignment horizontal="right" vertical="center"/>
    </xf>
    <xf numFmtId="0" fontId="0" fillId="10" borderId="45" xfId="0" applyFill="1" applyBorder="1"/>
    <xf numFmtId="0" fontId="0" fillId="10" borderId="39" xfId="0" applyFill="1" applyBorder="1"/>
    <xf numFmtId="0" fontId="0" fillId="10" borderId="42" xfId="0" applyFill="1" applyBorder="1"/>
    <xf numFmtId="0" fontId="0" fillId="10" borderId="44" xfId="0" applyFill="1" applyBorder="1"/>
    <xf numFmtId="0" fontId="0" fillId="10" borderId="2" xfId="0" applyNumberFormat="1" applyFill="1" applyBorder="1" applyAlignment="1" applyProtection="1">
      <alignment horizontal="center"/>
      <protection locked="0"/>
    </xf>
    <xf numFmtId="176" fontId="0" fillId="10" borderId="13" xfId="0" applyNumberFormat="1" applyFill="1" applyBorder="1" applyAlignment="1" applyProtection="1">
      <alignment horizontal="center"/>
      <protection locked="0"/>
    </xf>
    <xf numFmtId="0" fontId="0" fillId="0" borderId="0" xfId="0" applyNumberFormat="1"/>
    <xf numFmtId="0" fontId="0" fillId="0" borderId="0" xfId="0" applyFill="1" applyAlignment="1" applyProtection="1">
      <alignment horizontal="center"/>
    </xf>
    <xf numFmtId="176" fontId="0" fillId="0" borderId="0" xfId="0" applyNumberFormat="1" applyFill="1" applyProtection="1"/>
    <xf numFmtId="57" fontId="0" fillId="0" borderId="13" xfId="0" applyNumberFormat="1" applyFill="1" applyBorder="1" applyProtection="1">
      <protection locked="0"/>
    </xf>
    <xf numFmtId="176" fontId="0" fillId="0" borderId="9" xfId="0" applyNumberFormat="1" applyBorder="1" applyProtection="1"/>
    <xf numFmtId="176" fontId="0" fillId="7" borderId="18" xfId="0" applyNumberFormat="1" applyFill="1" applyBorder="1" applyAlignment="1" applyProtection="1">
      <alignment horizontal="center"/>
    </xf>
    <xf numFmtId="176" fontId="0" fillId="7" borderId="1" xfId="0" applyNumberFormat="1" applyFill="1" applyBorder="1" applyAlignment="1" applyProtection="1">
      <alignment horizontal="center"/>
    </xf>
    <xf numFmtId="0" fontId="1" fillId="0" borderId="0" xfId="0" applyFont="1"/>
    <xf numFmtId="0" fontId="12" fillId="0" borderId="0" xfId="0" applyFont="1"/>
    <xf numFmtId="0" fontId="15" fillId="8" borderId="0" xfId="0" applyFont="1" applyFill="1" applyBorder="1" applyAlignment="1" applyProtection="1">
      <alignment horizontal="right"/>
    </xf>
    <xf numFmtId="176" fontId="14" fillId="0" borderId="14" xfId="0" applyNumberFormat="1" applyFont="1" applyFill="1" applyBorder="1" applyAlignment="1" applyProtection="1"/>
    <xf numFmtId="176" fontId="14" fillId="0" borderId="14" xfId="0" quotePrefix="1" applyNumberFormat="1" applyFont="1" applyFill="1" applyBorder="1" applyAlignment="1" applyProtection="1"/>
    <xf numFmtId="176" fontId="3" fillId="0" borderId="2" xfId="0" applyNumberFormat="1" applyFont="1" applyFill="1" applyBorder="1" applyAlignment="1" applyProtection="1">
      <alignment vertical="center"/>
    </xf>
    <xf numFmtId="20" fontId="0" fillId="10" borderId="13" xfId="0" applyNumberFormat="1" applyFill="1" applyBorder="1" applyAlignment="1" applyProtection="1">
      <alignment vertical="center"/>
      <protection locked="0"/>
    </xf>
    <xf numFmtId="176" fontId="1" fillId="10" borderId="13" xfId="0" applyNumberFormat="1" applyFont="1" applyFill="1" applyBorder="1" applyProtection="1">
      <protection locked="0"/>
    </xf>
    <xf numFmtId="176" fontId="1" fillId="10" borderId="11" xfId="0" applyNumberFormat="1" applyFont="1" applyFill="1" applyBorder="1" applyAlignment="1" applyProtection="1">
      <alignment horizontal="center" vertical="center"/>
    </xf>
    <xf numFmtId="176" fontId="1" fillId="10" borderId="18" xfId="0" applyNumberFormat="1" applyFont="1" applyFill="1" applyBorder="1" applyAlignment="1" applyProtection="1">
      <alignment horizontal="center" vertical="center"/>
    </xf>
    <xf numFmtId="176" fontId="1" fillId="10" borderId="19" xfId="0" applyNumberFormat="1" applyFont="1" applyFill="1" applyBorder="1" applyAlignment="1" applyProtection="1">
      <alignment horizontal="center" vertical="center"/>
    </xf>
    <xf numFmtId="176" fontId="1" fillId="10" borderId="33" xfId="0" applyNumberFormat="1" applyFont="1" applyFill="1" applyBorder="1" applyAlignment="1" applyProtection="1">
      <alignment horizontal="center" vertical="center"/>
    </xf>
    <xf numFmtId="176" fontId="0" fillId="8" borderId="0" xfId="0" applyNumberFormat="1" applyFill="1" applyAlignment="1" applyProtection="1">
      <alignment horizontal="center"/>
    </xf>
    <xf numFmtId="0" fontId="0" fillId="2" borderId="0" xfId="0" applyFill="1" applyProtection="1"/>
    <xf numFmtId="0" fontId="0" fillId="2" borderId="0" xfId="0" applyFill="1" applyAlignment="1" applyProtection="1">
      <alignment horizontal="center"/>
    </xf>
    <xf numFmtId="0" fontId="0" fillId="0" borderId="13" xfId="0" applyFill="1" applyBorder="1" applyAlignment="1" applyProtection="1">
      <alignment horizontal="center"/>
    </xf>
    <xf numFmtId="0" fontId="1" fillId="0" borderId="0" xfId="0" applyFont="1" applyFill="1" applyBorder="1" applyProtection="1"/>
    <xf numFmtId="0" fontId="12" fillId="2" borderId="0" xfId="0" applyFont="1" applyFill="1" applyProtection="1"/>
    <xf numFmtId="0" fontId="0" fillId="0" borderId="13" xfId="0" applyFill="1" applyBorder="1" applyAlignment="1" applyProtection="1">
      <alignment horizontal="left"/>
    </xf>
    <xf numFmtId="57" fontId="0" fillId="2" borderId="0" xfId="0" applyNumberFormat="1" applyFill="1" applyProtection="1"/>
    <xf numFmtId="0" fontId="0" fillId="0" borderId="13" xfId="0" applyBorder="1" applyAlignment="1">
      <alignment horizontal="center"/>
    </xf>
    <xf numFmtId="0" fontId="0" fillId="0" borderId="0" xfId="0" applyAlignment="1">
      <alignment horizontal="left"/>
    </xf>
    <xf numFmtId="0" fontId="0" fillId="0" borderId="46" xfId="0" applyBorder="1"/>
    <xf numFmtId="0" fontId="0" fillId="0" borderId="47" xfId="0" applyBorder="1"/>
    <xf numFmtId="0" fontId="0" fillId="0" borderId="47" xfId="0" applyBorder="1" applyAlignment="1">
      <alignment horizontal="left"/>
    </xf>
    <xf numFmtId="0" fontId="4" fillId="0" borderId="0" xfId="0" applyFont="1"/>
    <xf numFmtId="0" fontId="0" fillId="0" borderId="48" xfId="0" applyBorder="1"/>
    <xf numFmtId="0" fontId="0" fillId="0" borderId="49" xfId="0" applyBorder="1"/>
    <xf numFmtId="0" fontId="0" fillId="0" borderId="50" xfId="0" applyBorder="1"/>
    <xf numFmtId="0" fontId="0" fillId="0" borderId="51" xfId="0" applyBorder="1"/>
    <xf numFmtId="0" fontId="5" fillId="0" borderId="0" xfId="0" applyFont="1" applyAlignment="1"/>
    <xf numFmtId="0" fontId="5" fillId="0" borderId="0" xfId="0" quotePrefix="1" applyFont="1" applyAlignment="1"/>
    <xf numFmtId="0" fontId="0" fillId="0" borderId="0" xfId="0" applyAlignment="1">
      <alignment vertical="center"/>
    </xf>
    <xf numFmtId="0" fontId="0" fillId="0" borderId="0" xfId="0" applyAlignment="1">
      <alignment horizontal="left" vertical="center"/>
    </xf>
    <xf numFmtId="0" fontId="20" fillId="11" borderId="52" xfId="0" applyFont="1" applyFill="1" applyBorder="1" applyAlignment="1">
      <alignment horizontal="center"/>
    </xf>
    <xf numFmtId="0" fontId="20" fillId="11" borderId="53" xfId="0" applyFont="1" applyFill="1" applyBorder="1" applyAlignment="1">
      <alignment horizontal="center"/>
    </xf>
    <xf numFmtId="0" fontId="4" fillId="0" borderId="50" xfId="0" applyFont="1" applyBorder="1"/>
    <xf numFmtId="0" fontId="4" fillId="0" borderId="51" xfId="0" applyFont="1" applyBorder="1"/>
    <xf numFmtId="0" fontId="0" fillId="0" borderId="54" xfId="0" applyBorder="1"/>
    <xf numFmtId="0" fontId="0" fillId="0" borderId="55" xfId="0" applyBorder="1"/>
    <xf numFmtId="0" fontId="0" fillId="0" borderId="56" xfId="0" applyBorder="1"/>
    <xf numFmtId="0" fontId="0" fillId="13" borderId="0" xfId="0" applyFill="1"/>
    <xf numFmtId="0" fontId="23" fillId="13" borderId="0" xfId="0" applyFont="1" applyFill="1" applyAlignment="1">
      <alignment horizontal="center"/>
    </xf>
    <xf numFmtId="0" fontId="4" fillId="0" borderId="57" xfId="0" applyFont="1" applyBorder="1" applyAlignment="1">
      <alignment vertical="center"/>
    </xf>
    <xf numFmtId="0" fontId="4" fillId="0" borderId="58" xfId="0" applyFont="1" applyBorder="1" applyAlignment="1">
      <alignment vertical="center"/>
    </xf>
    <xf numFmtId="0" fontId="4" fillId="0" borderId="0" xfId="0" applyFont="1" applyFill="1" applyBorder="1" applyAlignment="1">
      <alignment vertical="center"/>
    </xf>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xf numFmtId="0" fontId="5" fillId="0" borderId="0" xfId="0" applyFont="1" applyBorder="1"/>
    <xf numFmtId="0" fontId="0" fillId="0" borderId="64" xfId="0" applyBorder="1"/>
    <xf numFmtId="0" fontId="0" fillId="0" borderId="65" xfId="0" applyBorder="1"/>
    <xf numFmtId="0" fontId="0" fillId="0" borderId="66" xfId="0" applyBorder="1"/>
    <xf numFmtId="0" fontId="4" fillId="0" borderId="67" xfId="0" applyFont="1" applyBorder="1" applyAlignment="1">
      <alignment vertical="center"/>
    </xf>
    <xf numFmtId="0" fontId="4" fillId="0" borderId="68" xfId="0" applyFont="1" applyBorder="1" applyAlignment="1">
      <alignment vertical="center"/>
    </xf>
    <xf numFmtId="0" fontId="4" fillId="0" borderId="69" xfId="0" applyFont="1" applyBorder="1" applyAlignment="1">
      <alignment vertical="center"/>
    </xf>
    <xf numFmtId="0" fontId="4" fillId="0" borderId="0" xfId="0" applyFont="1" applyAlignment="1">
      <alignment vertical="center"/>
    </xf>
    <xf numFmtId="0" fontId="0" fillId="14" borderId="0" xfId="0" applyFill="1" applyAlignment="1">
      <alignment horizontal="center"/>
    </xf>
    <xf numFmtId="0" fontId="4" fillId="0" borderId="0" xfId="0" applyFont="1" applyBorder="1" applyAlignment="1">
      <alignment horizontal="center"/>
    </xf>
    <xf numFmtId="0" fontId="21" fillId="0" borderId="0" xfId="0" applyFont="1"/>
    <xf numFmtId="0" fontId="22" fillId="0" borderId="0" xfId="0" applyFont="1"/>
    <xf numFmtId="0" fontId="4" fillId="0" borderId="0" xfId="0" applyFont="1" applyBorder="1"/>
    <xf numFmtId="178" fontId="0" fillId="0" borderId="2" xfId="0" applyNumberFormat="1" applyFill="1" applyBorder="1" applyAlignment="1" applyProtection="1">
      <alignment horizontal="center"/>
    </xf>
    <xf numFmtId="0" fontId="17" fillId="7" borderId="70" xfId="0" applyFont="1" applyFill="1" applyBorder="1" applyAlignment="1" applyProtection="1">
      <alignment horizontal="center" vertical="center"/>
    </xf>
    <xf numFmtId="176" fontId="17" fillId="7" borderId="32" xfId="0" applyNumberFormat="1" applyFont="1" applyFill="1" applyBorder="1" applyAlignment="1" applyProtection="1">
      <alignment horizontal="center" vertical="center"/>
    </xf>
    <xf numFmtId="57" fontId="0" fillId="0" borderId="0" xfId="0" applyNumberFormat="1"/>
    <xf numFmtId="20" fontId="0" fillId="0" borderId="0" xfId="0" applyNumberFormat="1"/>
    <xf numFmtId="57" fontId="0" fillId="7" borderId="13" xfId="0" applyNumberFormat="1" applyFill="1" applyBorder="1" applyAlignment="1">
      <alignment horizontal="center" vertical="center"/>
    </xf>
    <xf numFmtId="0" fontId="0" fillId="7" borderId="13" xfId="0" applyFill="1" applyBorder="1" applyAlignment="1">
      <alignment horizontal="center" vertical="center"/>
    </xf>
    <xf numFmtId="191" fontId="0" fillId="0" borderId="13" xfId="0" applyNumberFormat="1" applyBorder="1" applyProtection="1">
      <protection locked="0"/>
    </xf>
    <xf numFmtId="0" fontId="0" fillId="0" borderId="13" xfId="0" applyBorder="1" applyAlignment="1" applyProtection="1">
      <alignment horizontal="center"/>
      <protection locked="0"/>
    </xf>
    <xf numFmtId="20" fontId="0" fillId="0" borderId="13" xfId="0" applyNumberFormat="1" applyBorder="1" applyProtection="1">
      <protection locked="0"/>
    </xf>
    <xf numFmtId="0" fontId="12" fillId="0" borderId="0" xfId="0" applyFont="1" applyAlignment="1">
      <alignment horizontal="right"/>
    </xf>
    <xf numFmtId="20" fontId="0" fillId="7" borderId="13" xfId="0" applyNumberFormat="1" applyFill="1" applyBorder="1"/>
    <xf numFmtId="0" fontId="0" fillId="15" borderId="3" xfId="0" applyFill="1" applyBorder="1" applyAlignment="1">
      <alignment vertical="center"/>
    </xf>
    <xf numFmtId="0" fontId="0" fillId="15" borderId="5" xfId="0" applyFill="1" applyBorder="1"/>
    <xf numFmtId="20" fontId="0" fillId="15" borderId="13" xfId="0" applyNumberFormat="1" applyFill="1" applyBorder="1"/>
    <xf numFmtId="192" fontId="0" fillId="0" borderId="13" xfId="0" applyNumberFormat="1" applyBorder="1"/>
    <xf numFmtId="0" fontId="0" fillId="15" borderId="3" xfId="0" applyFill="1" applyBorder="1" applyAlignment="1">
      <alignment horizontal="center" vertical="center"/>
    </xf>
    <xf numFmtId="57" fontId="0" fillId="14" borderId="6" xfId="0" applyNumberFormat="1" applyFill="1" applyBorder="1"/>
    <xf numFmtId="0" fontId="0" fillId="14" borderId="0" xfId="0" applyFill="1" applyBorder="1" applyAlignment="1">
      <alignment horizontal="center"/>
    </xf>
    <xf numFmtId="0" fontId="0" fillId="14" borderId="0" xfId="0" applyFill="1" applyBorder="1"/>
    <xf numFmtId="20" fontId="0" fillId="14" borderId="0" xfId="0" applyNumberFormat="1" applyFill="1" applyBorder="1"/>
    <xf numFmtId="0" fontId="0" fillId="14" borderId="5" xfId="0" applyFill="1" applyBorder="1" applyAlignment="1">
      <alignment horizontal="center"/>
    </xf>
    <xf numFmtId="0" fontId="3" fillId="14" borderId="0" xfId="0" applyFont="1" applyFill="1" applyBorder="1" applyAlignment="1">
      <alignment horizontal="left"/>
    </xf>
    <xf numFmtId="57" fontId="0" fillId="14" borderId="9" xfId="0" applyNumberFormat="1" applyFill="1" applyBorder="1"/>
    <xf numFmtId="57" fontId="5" fillId="0" borderId="11" xfId="0" applyNumberFormat="1" applyFont="1" applyBorder="1" applyAlignment="1">
      <alignment horizontal="left"/>
    </xf>
    <xf numFmtId="0" fontId="0" fillId="0" borderId="14" xfId="0" applyBorder="1" applyAlignment="1">
      <alignment horizontal="center"/>
    </xf>
    <xf numFmtId="0" fontId="0" fillId="0" borderId="14" xfId="0" applyBorder="1"/>
    <xf numFmtId="20" fontId="0" fillId="0" borderId="14" xfId="0" applyNumberFormat="1" applyBorder="1"/>
    <xf numFmtId="57" fontId="5" fillId="0" borderId="6" xfId="0" applyNumberFormat="1" applyFont="1" applyBorder="1" applyAlignment="1">
      <alignment horizontal="left"/>
    </xf>
    <xf numFmtId="20" fontId="0" fillId="0" borderId="0" xfId="0" applyNumberFormat="1" applyBorder="1"/>
    <xf numFmtId="57" fontId="5" fillId="0" borderId="9" xfId="0" applyNumberFormat="1" applyFont="1" applyBorder="1" applyAlignment="1">
      <alignment horizontal="left"/>
    </xf>
    <xf numFmtId="0" fontId="25" fillId="0" borderId="0" xfId="0" applyFont="1"/>
    <xf numFmtId="0" fontId="28" fillId="0" borderId="0" xfId="0" applyFont="1"/>
    <xf numFmtId="0" fontId="0" fillId="10" borderId="6" xfId="0" applyFill="1" applyBorder="1" applyAlignment="1" applyProtection="1">
      <alignment horizontal="center" vertical="center"/>
    </xf>
    <xf numFmtId="176" fontId="1" fillId="0" borderId="14" xfId="0" applyNumberFormat="1" applyFont="1" applyFill="1" applyBorder="1" applyAlignment="1" applyProtection="1">
      <alignment horizontal="right"/>
    </xf>
    <xf numFmtId="176" fontId="0" fillId="0" borderId="0" xfId="0" applyNumberFormat="1" applyBorder="1" applyAlignment="1" applyProtection="1">
      <alignment horizontal="center"/>
    </xf>
    <xf numFmtId="0" fontId="17" fillId="7" borderId="74" xfId="0" applyFont="1" applyFill="1" applyBorder="1" applyAlignment="1" applyProtection="1">
      <alignment horizontal="center" vertical="center"/>
    </xf>
    <xf numFmtId="0" fontId="23" fillId="0" borderId="0" xfId="0" applyFont="1"/>
    <xf numFmtId="0" fontId="0" fillId="7" borderId="33" xfId="0" applyFill="1" applyBorder="1" applyProtection="1"/>
    <xf numFmtId="0" fontId="1" fillId="8" borderId="0" xfId="0" applyFont="1" applyFill="1" applyBorder="1" applyAlignment="1" applyProtection="1">
      <alignment horizontal="left"/>
    </xf>
    <xf numFmtId="0" fontId="0" fillId="10" borderId="9" xfId="0" applyFill="1" applyBorder="1" applyAlignment="1">
      <alignment horizontal="center" vertical="center"/>
    </xf>
    <xf numFmtId="0" fontId="1" fillId="7" borderId="13" xfId="0" applyFont="1" applyFill="1" applyBorder="1" applyProtection="1"/>
    <xf numFmtId="0" fontId="1" fillId="7" borderId="13" xfId="0" applyFont="1" applyFill="1" applyBorder="1" applyAlignment="1" applyProtection="1">
      <alignment vertical="center"/>
    </xf>
    <xf numFmtId="0" fontId="1" fillId="8" borderId="0" xfId="0" applyFont="1" applyFill="1" applyProtection="1"/>
    <xf numFmtId="178" fontId="0" fillId="10" borderId="1" xfId="0" applyNumberFormat="1" applyFill="1" applyBorder="1" applyAlignment="1" applyProtection="1">
      <alignment horizontal="center"/>
      <protection locked="0"/>
    </xf>
    <xf numFmtId="176" fontId="0" fillId="0" borderId="0" xfId="0" applyNumberFormat="1" applyAlignment="1" applyProtection="1">
      <alignment horizontal="center"/>
    </xf>
    <xf numFmtId="0" fontId="1" fillId="10" borderId="18" xfId="0" applyFont="1" applyFill="1" applyBorder="1" applyAlignment="1" applyProtection="1">
      <alignment horizontal="center" vertical="center"/>
    </xf>
    <xf numFmtId="0" fontId="1" fillId="10" borderId="19" xfId="0" applyFont="1" applyFill="1" applyBorder="1" applyAlignment="1" applyProtection="1">
      <alignment horizontal="center" vertical="center"/>
    </xf>
    <xf numFmtId="20" fontId="0" fillId="10" borderId="13" xfId="0" applyNumberFormat="1" applyFill="1" applyBorder="1" applyAlignment="1" applyProtection="1">
      <alignment horizontal="center"/>
      <protection locked="0"/>
    </xf>
    <xf numFmtId="0" fontId="0" fillId="7" borderId="75" xfId="0" applyFill="1" applyBorder="1" applyProtection="1"/>
    <xf numFmtId="0" fontId="0" fillId="7" borderId="76" xfId="0" applyFill="1" applyBorder="1" applyProtection="1"/>
    <xf numFmtId="0" fontId="0" fillId="7" borderId="77" xfId="0" applyFill="1" applyBorder="1" applyAlignment="1" applyProtection="1">
      <alignment vertical="center"/>
    </xf>
    <xf numFmtId="0" fontId="0" fillId="7" borderId="75" xfId="0" applyFill="1" applyBorder="1" applyAlignment="1" applyProtection="1">
      <alignment vertical="center"/>
    </xf>
    <xf numFmtId="0" fontId="0" fillId="7" borderId="77" xfId="0" applyFill="1" applyBorder="1" applyProtection="1"/>
    <xf numFmtId="0" fontId="1" fillId="8" borderId="0" xfId="0" applyFont="1" applyFill="1" applyAlignment="1" applyProtection="1">
      <alignment vertical="center"/>
    </xf>
    <xf numFmtId="0" fontId="1" fillId="7" borderId="13" xfId="0" applyFont="1" applyFill="1" applyBorder="1" applyAlignment="1" applyProtection="1">
      <alignment horizontal="center"/>
    </xf>
    <xf numFmtId="0" fontId="30" fillId="0" borderId="0" xfId="0" applyFont="1"/>
    <xf numFmtId="0" fontId="30" fillId="0" borderId="0" xfId="0" applyFont="1" applyAlignment="1">
      <alignment horizontal="right"/>
    </xf>
    <xf numFmtId="176" fontId="5" fillId="7" borderId="0" xfId="0" applyNumberFormat="1" applyFont="1" applyFill="1" applyBorder="1" applyAlignment="1" applyProtection="1">
      <alignment horizontal="left"/>
    </xf>
    <xf numFmtId="193" fontId="1" fillId="0" borderId="13" xfId="0" applyNumberFormat="1" applyFont="1" applyFill="1" applyBorder="1" applyProtection="1"/>
    <xf numFmtId="0" fontId="26" fillId="0" borderId="0" xfId="0" applyFont="1"/>
    <xf numFmtId="176" fontId="5" fillId="7" borderId="6" xfId="0" applyNumberFormat="1" applyFont="1" applyFill="1" applyBorder="1" applyAlignment="1" applyProtection="1">
      <alignment horizontal="left"/>
    </xf>
    <xf numFmtId="176" fontId="1" fillId="7" borderId="13" xfId="0" applyNumberFormat="1" applyFont="1" applyFill="1" applyBorder="1" applyAlignment="1" applyProtection="1">
      <alignment horizontal="center" vertical="center"/>
    </xf>
    <xf numFmtId="176" fontId="31" fillId="7" borderId="0" xfId="0" applyNumberFormat="1" applyFont="1" applyFill="1" applyBorder="1" applyAlignment="1" applyProtection="1">
      <alignment horizontal="left"/>
    </xf>
    <xf numFmtId="0" fontId="14" fillId="7" borderId="73" xfId="0" applyFont="1" applyFill="1" applyBorder="1" applyAlignment="1" applyProtection="1">
      <alignment horizontal="centerContinuous" vertical="center"/>
    </xf>
    <xf numFmtId="194" fontId="0" fillId="7" borderId="31" xfId="0" applyNumberFormat="1" applyFill="1" applyBorder="1" applyAlignment="1" applyProtection="1">
      <alignment horizontal="center"/>
    </xf>
    <xf numFmtId="195" fontId="0" fillId="7" borderId="31" xfId="0" applyNumberFormat="1" applyFill="1" applyBorder="1" applyAlignment="1" applyProtection="1">
      <alignment horizontal="center"/>
    </xf>
    <xf numFmtId="194" fontId="3" fillId="0" borderId="13" xfId="0" applyNumberFormat="1" applyFont="1" applyFill="1" applyBorder="1" applyAlignment="1" applyProtection="1">
      <alignment horizontal="center"/>
    </xf>
    <xf numFmtId="194" fontId="1" fillId="0" borderId="13" xfId="0" applyNumberFormat="1" applyFont="1" applyFill="1" applyBorder="1" applyAlignment="1" applyProtection="1">
      <alignment horizontal="center"/>
    </xf>
    <xf numFmtId="195" fontId="1" fillId="0" borderId="13" xfId="0" applyNumberFormat="1" applyFont="1" applyFill="1" applyBorder="1" applyAlignment="1" applyProtection="1">
      <alignment horizontal="center"/>
    </xf>
    <xf numFmtId="0" fontId="1" fillId="0" borderId="0" xfId="0" applyFont="1" applyProtection="1"/>
    <xf numFmtId="0" fontId="5" fillId="0" borderId="6" xfId="0" applyFont="1" applyFill="1" applyBorder="1" applyProtection="1"/>
    <xf numFmtId="196" fontId="5" fillId="0" borderId="5" xfId="0" applyNumberFormat="1" applyFont="1" applyFill="1" applyBorder="1" applyProtection="1"/>
    <xf numFmtId="0" fontId="5" fillId="0" borderId="5" xfId="0" applyFont="1" applyFill="1" applyBorder="1" applyProtection="1"/>
    <xf numFmtId="0" fontId="5" fillId="0" borderId="9" xfId="0" applyFont="1" applyBorder="1" applyProtection="1"/>
    <xf numFmtId="196" fontId="5" fillId="0" borderId="75" xfId="0" applyNumberFormat="1" applyFont="1" applyBorder="1" applyProtection="1"/>
    <xf numFmtId="196" fontId="5" fillId="0" borderId="77" xfId="0" applyNumberFormat="1" applyFont="1" applyBorder="1" applyProtection="1"/>
    <xf numFmtId="196" fontId="5" fillId="0" borderId="78" xfId="0" applyNumberFormat="1" applyFont="1" applyBorder="1" applyProtection="1"/>
    <xf numFmtId="57" fontId="0" fillId="0" borderId="0" xfId="0" applyNumberFormat="1" applyProtection="1"/>
    <xf numFmtId="196" fontId="0" fillId="0" borderId="0" xfId="0" applyNumberFormat="1" applyProtection="1"/>
    <xf numFmtId="191" fontId="5" fillId="0" borderId="75" xfId="0" applyNumberFormat="1" applyFont="1" applyBorder="1" applyProtection="1">
      <protection locked="0"/>
    </xf>
    <xf numFmtId="0" fontId="5" fillId="0" borderId="75" xfId="0" applyFont="1" applyBorder="1" applyProtection="1">
      <protection locked="0"/>
    </xf>
    <xf numFmtId="196" fontId="5" fillId="0" borderId="75" xfId="0" applyNumberFormat="1" applyFont="1" applyBorder="1" applyProtection="1">
      <protection locked="0"/>
    </xf>
    <xf numFmtId="191" fontId="5" fillId="0" borderId="77" xfId="0" applyNumberFormat="1" applyFont="1" applyBorder="1" applyProtection="1">
      <protection locked="0"/>
    </xf>
    <xf numFmtId="0" fontId="5" fillId="0" borderId="77" xfId="0" applyFont="1" applyBorder="1" applyProtection="1">
      <protection locked="0"/>
    </xf>
    <xf numFmtId="196" fontId="5" fillId="0" borderId="77" xfId="0" applyNumberFormat="1" applyFont="1" applyBorder="1" applyProtection="1">
      <protection locked="0"/>
    </xf>
    <xf numFmtId="191" fontId="5" fillId="0" borderId="78" xfId="0" applyNumberFormat="1" applyFont="1" applyBorder="1" applyProtection="1">
      <protection locked="0"/>
    </xf>
    <xf numFmtId="0" fontId="5" fillId="0" borderId="78" xfId="0" applyFont="1" applyBorder="1" applyProtection="1">
      <protection locked="0"/>
    </xf>
    <xf numFmtId="196" fontId="5" fillId="0" borderId="78" xfId="0" applyNumberFormat="1" applyFont="1" applyBorder="1" applyProtection="1">
      <protection locked="0"/>
    </xf>
    <xf numFmtId="0" fontId="16" fillId="0" borderId="6" xfId="0" applyFont="1" applyBorder="1" applyAlignment="1" applyProtection="1">
      <alignment horizontal="left" vertical="center"/>
    </xf>
    <xf numFmtId="0" fontId="16" fillId="0" borderId="11" xfId="0" applyFont="1" applyFill="1" applyBorder="1" applyAlignment="1" applyProtection="1">
      <alignment horizontal="left" vertical="center"/>
    </xf>
    <xf numFmtId="196" fontId="16" fillId="0" borderId="14" xfId="0" applyNumberFormat="1" applyFont="1" applyFill="1" applyBorder="1" applyAlignment="1" applyProtection="1">
      <alignment horizontal="left" vertical="center"/>
    </xf>
    <xf numFmtId="0" fontId="16" fillId="0" borderId="3" xfId="0" applyFont="1" applyFill="1" applyBorder="1" applyAlignment="1" applyProtection="1">
      <alignment horizontal="left" vertical="center"/>
    </xf>
    <xf numFmtId="0" fontId="16" fillId="0" borderId="0" xfId="0" applyFont="1" applyBorder="1" applyAlignment="1" applyProtection="1">
      <alignment horizontal="left" vertical="center"/>
      <protection locked="0"/>
    </xf>
    <xf numFmtId="0" fontId="16" fillId="14" borderId="1" xfId="0" applyFont="1" applyFill="1" applyBorder="1" applyAlignment="1" applyProtection="1">
      <alignment horizontal="left" vertical="center"/>
    </xf>
    <xf numFmtId="0" fontId="16" fillId="0" borderId="9" xfId="0" applyFont="1" applyBorder="1" applyAlignment="1" applyProtection="1">
      <alignment horizontal="left" vertical="center"/>
      <protection locked="0"/>
    </xf>
    <xf numFmtId="0" fontId="16" fillId="0" borderId="0" xfId="0" applyFont="1" applyAlignment="1" applyProtection="1">
      <alignment horizontal="left" vertical="center"/>
    </xf>
    <xf numFmtId="0" fontId="16" fillId="0" borderId="0" xfId="0" applyFont="1" applyFill="1" applyAlignment="1" applyProtection="1">
      <alignment horizontal="left" vertical="center"/>
    </xf>
    <xf numFmtId="0" fontId="16" fillId="0" borderId="14" xfId="0" applyFont="1" applyFill="1" applyBorder="1" applyAlignment="1" applyProtection="1">
      <alignment horizontal="left" vertical="center"/>
    </xf>
    <xf numFmtId="196" fontId="16" fillId="0" borderId="3" xfId="0" applyNumberFormat="1" applyFont="1" applyFill="1" applyBorder="1" applyAlignment="1" applyProtection="1">
      <alignment horizontal="left" vertical="center"/>
    </xf>
    <xf numFmtId="196" fontId="16" fillId="0" borderId="11" xfId="0" applyNumberFormat="1" applyFont="1" applyFill="1" applyBorder="1" applyAlignment="1" applyProtection="1">
      <alignment horizontal="left" vertical="center"/>
    </xf>
    <xf numFmtId="0" fontId="16" fillId="14" borderId="29" xfId="0" applyFont="1" applyFill="1" applyBorder="1" applyAlignment="1" applyProtection="1">
      <alignment horizontal="left" vertical="center"/>
    </xf>
    <xf numFmtId="0" fontId="16" fillId="0" borderId="79" xfId="0" applyFont="1" applyBorder="1" applyAlignment="1" applyProtection="1">
      <alignment horizontal="left" vertical="center"/>
    </xf>
    <xf numFmtId="0" fontId="16" fillId="0" borderId="80" xfId="0" applyFont="1" applyBorder="1" applyAlignment="1" applyProtection="1">
      <alignment horizontal="left" vertical="center"/>
    </xf>
    <xf numFmtId="0" fontId="16" fillId="0" borderId="70" xfId="0" applyFont="1" applyBorder="1" applyAlignment="1" applyProtection="1">
      <alignment horizontal="left" vertical="center"/>
    </xf>
    <xf numFmtId="196" fontId="16" fillId="0" borderId="79" xfId="0" applyNumberFormat="1" applyFont="1" applyBorder="1" applyAlignment="1" applyProtection="1">
      <alignment horizontal="left" vertical="center"/>
    </xf>
    <xf numFmtId="196" fontId="16" fillId="0" borderId="80" xfId="0" applyNumberFormat="1" applyFont="1" applyBorder="1" applyAlignment="1" applyProtection="1">
      <alignment horizontal="left" vertical="center"/>
    </xf>
    <xf numFmtId="196" fontId="16" fillId="0" borderId="70" xfId="0" applyNumberFormat="1" applyFont="1" applyBorder="1" applyAlignment="1" applyProtection="1">
      <alignment horizontal="left" vertical="center"/>
    </xf>
    <xf numFmtId="0" fontId="16" fillId="0" borderId="6" xfId="0" applyFont="1" applyBorder="1" applyAlignment="1" applyProtection="1">
      <alignment horizontal="left" vertical="center"/>
      <protection locked="0"/>
    </xf>
    <xf numFmtId="0" fontId="16" fillId="0" borderId="0" xfId="0" applyFont="1" applyFill="1" applyBorder="1" applyAlignment="1" applyProtection="1">
      <alignment horizontal="left" vertical="center"/>
      <protection locked="0"/>
    </xf>
    <xf numFmtId="20" fontId="16" fillId="0" borderId="0" xfId="0" applyNumberFormat="1" applyFont="1" applyFill="1" applyBorder="1" applyAlignment="1" applyProtection="1">
      <alignment horizontal="left" vertical="center"/>
      <protection locked="0"/>
    </xf>
    <xf numFmtId="196" fontId="16" fillId="0" borderId="0" xfId="0" applyNumberFormat="1" applyFont="1" applyFill="1" applyBorder="1" applyAlignment="1" applyProtection="1">
      <alignment horizontal="left" vertical="center"/>
      <protection locked="0"/>
    </xf>
    <xf numFmtId="0" fontId="16" fillId="0" borderId="5" xfId="0" applyFont="1" applyFill="1" applyBorder="1" applyAlignment="1" applyProtection="1">
      <alignment horizontal="left" vertical="center"/>
      <protection locked="0"/>
    </xf>
    <xf numFmtId="0" fontId="16" fillId="0" borderId="6" xfId="0" applyFont="1" applyFill="1" applyBorder="1" applyAlignment="1" applyProtection="1">
      <alignment horizontal="left" vertical="center"/>
      <protection locked="0"/>
    </xf>
    <xf numFmtId="0" fontId="16" fillId="0" borderId="0" xfId="0" applyNumberFormat="1" applyFont="1" applyFill="1" applyBorder="1" applyAlignment="1" applyProtection="1">
      <alignment horizontal="left" vertical="center"/>
      <protection locked="0"/>
    </xf>
    <xf numFmtId="0" fontId="16" fillId="0" borderId="5" xfId="0" applyFont="1" applyBorder="1" applyAlignment="1" applyProtection="1">
      <alignment horizontal="left" vertical="center"/>
      <protection locked="0"/>
    </xf>
    <xf numFmtId="191" fontId="5" fillId="14" borderId="81" xfId="0" applyNumberFormat="1" applyFont="1" applyFill="1" applyBorder="1" applyAlignment="1" applyProtection="1">
      <alignment vertical="center"/>
    </xf>
    <xf numFmtId="0" fontId="5" fillId="14" borderId="82" xfId="0" applyFont="1" applyFill="1" applyBorder="1" applyAlignment="1" applyProtection="1">
      <alignment vertical="center"/>
    </xf>
    <xf numFmtId="196" fontId="5" fillId="14" borderId="82" xfId="0" applyNumberFormat="1" applyFont="1" applyFill="1" applyBorder="1" applyAlignment="1" applyProtection="1">
      <alignment vertical="center"/>
    </xf>
    <xf numFmtId="0" fontId="5" fillId="14" borderId="83" xfId="0" applyFont="1" applyFill="1" applyBorder="1" applyAlignment="1" applyProtection="1">
      <alignment vertical="center"/>
    </xf>
    <xf numFmtId="57" fontId="5" fillId="14" borderId="13" xfId="0" applyNumberFormat="1" applyFont="1" applyFill="1" applyBorder="1" applyAlignment="1" applyProtection="1">
      <alignment horizontal="center"/>
    </xf>
    <xf numFmtId="0" fontId="5" fillId="14" borderId="19" xfId="0" applyFont="1" applyFill="1" applyBorder="1" applyAlignment="1" applyProtection="1">
      <alignment horizontal="center"/>
    </xf>
    <xf numFmtId="196" fontId="5" fillId="14" borderId="19" xfId="0" applyNumberFormat="1" applyFont="1" applyFill="1" applyBorder="1" applyAlignment="1" applyProtection="1">
      <alignment horizontal="center"/>
    </xf>
    <xf numFmtId="0" fontId="5" fillId="16" borderId="75" xfId="0" applyFont="1" applyFill="1" applyBorder="1" applyProtection="1"/>
    <xf numFmtId="0" fontId="5" fillId="16" borderId="77" xfId="0" applyFont="1" applyFill="1" applyBorder="1" applyProtection="1"/>
    <xf numFmtId="0" fontId="5" fillId="16" borderId="78" xfId="0" applyFont="1" applyFill="1" applyBorder="1" applyProtection="1"/>
    <xf numFmtId="0" fontId="16" fillId="14" borderId="6" xfId="0" applyFont="1" applyFill="1" applyBorder="1" applyAlignment="1" applyProtection="1">
      <alignment horizontal="left" vertical="center"/>
    </xf>
    <xf numFmtId="176" fontId="0" fillId="7" borderId="1" xfId="0" applyNumberFormat="1" applyFill="1" applyBorder="1" applyProtection="1"/>
    <xf numFmtId="176" fontId="0" fillId="7" borderId="19" xfId="0" applyNumberFormat="1" applyFill="1" applyBorder="1" applyAlignment="1" applyProtection="1">
      <alignment horizontal="center"/>
    </xf>
    <xf numFmtId="176" fontId="0" fillId="7" borderId="3" xfId="0" applyNumberFormat="1" applyFill="1" applyBorder="1" applyProtection="1"/>
    <xf numFmtId="177" fontId="0" fillId="0" borderId="13" xfId="0" applyNumberFormat="1" applyFill="1" applyBorder="1" applyAlignment="1" applyProtection="1">
      <alignment horizontal="center"/>
    </xf>
    <xf numFmtId="0" fontId="14" fillId="7" borderId="84" xfId="0" applyFont="1" applyFill="1" applyBorder="1" applyAlignment="1" applyProtection="1">
      <alignment horizontal="centerContinuous" vertical="center"/>
    </xf>
    <xf numFmtId="0" fontId="9" fillId="7" borderId="13" xfId="0" applyFont="1" applyFill="1" applyBorder="1" applyAlignment="1" applyProtection="1">
      <alignment horizontal="center" vertical="center"/>
    </xf>
    <xf numFmtId="0" fontId="8" fillId="0" borderId="0" xfId="0" applyFont="1" applyAlignment="1" applyProtection="1">
      <alignment horizontal="center" vertical="center"/>
    </xf>
    <xf numFmtId="0" fontId="14" fillId="0" borderId="0" xfId="0" applyFont="1" applyAlignment="1" applyProtection="1">
      <alignment horizontal="center" vertical="center"/>
    </xf>
    <xf numFmtId="49" fontId="8" fillId="0" borderId="0" xfId="0" applyNumberFormat="1" applyFont="1" applyAlignment="1" applyProtection="1">
      <alignment horizontal="center" vertical="center"/>
    </xf>
    <xf numFmtId="0" fontId="14" fillId="7" borderId="31" xfId="0" applyFont="1" applyFill="1" applyBorder="1" applyAlignment="1" applyProtection="1">
      <alignment horizontal="center" vertical="center"/>
    </xf>
    <xf numFmtId="0" fontId="14" fillId="7" borderId="88" xfId="0" applyFont="1" applyFill="1" applyBorder="1" applyAlignment="1" applyProtection="1">
      <alignment horizontal="center" vertical="center"/>
    </xf>
    <xf numFmtId="0" fontId="14" fillId="7" borderId="87" xfId="0" applyFont="1" applyFill="1" applyBorder="1" applyAlignment="1" applyProtection="1">
      <alignment horizontal="centerContinuous" vertical="center"/>
    </xf>
    <xf numFmtId="0" fontId="14" fillId="7" borderId="84" xfId="0" applyFont="1" applyFill="1" applyBorder="1" applyAlignment="1" applyProtection="1">
      <alignment horizontal="left" vertical="center"/>
    </xf>
    <xf numFmtId="0" fontId="0" fillId="7" borderId="87" xfId="0" applyFill="1" applyBorder="1" applyAlignment="1" applyProtection="1">
      <alignment horizontal="left" vertical="center"/>
    </xf>
    <xf numFmtId="0" fontId="14" fillId="7" borderId="89" xfId="0" applyFont="1" applyFill="1" applyBorder="1" applyAlignment="1" applyProtection="1">
      <alignment horizontal="center" vertical="center"/>
    </xf>
    <xf numFmtId="0" fontId="17" fillId="7" borderId="90" xfId="0" applyFont="1" applyFill="1" applyBorder="1" applyAlignment="1" applyProtection="1">
      <alignment horizontal="center" vertical="center"/>
    </xf>
    <xf numFmtId="0" fontId="14" fillId="7" borderId="91" xfId="0" applyFont="1" applyFill="1" applyBorder="1" applyAlignment="1" applyProtection="1">
      <alignment horizontal="center" vertical="center"/>
    </xf>
    <xf numFmtId="0" fontId="14" fillId="7" borderId="92" xfId="0" applyFont="1" applyFill="1" applyBorder="1" applyAlignment="1" applyProtection="1">
      <alignment horizontal="center" vertical="center"/>
    </xf>
    <xf numFmtId="177" fontId="1" fillId="0" borderId="93" xfId="0" applyNumberFormat="1" applyFont="1" applyBorder="1" applyAlignment="1" applyProtection="1">
      <alignment horizontal="center"/>
    </xf>
    <xf numFmtId="0" fontId="1" fillId="0" borderId="94" xfId="0" applyFont="1" applyBorder="1" applyAlignment="1" applyProtection="1">
      <alignment horizontal="center"/>
    </xf>
    <xf numFmtId="0" fontId="1" fillId="0" borderId="95" xfId="0" applyFont="1" applyBorder="1" applyAlignment="1" applyProtection="1">
      <alignment horizontal="center"/>
    </xf>
    <xf numFmtId="176" fontId="17" fillId="0" borderId="96" xfId="0" applyNumberFormat="1" applyFont="1" applyBorder="1" applyAlignment="1" applyProtection="1"/>
    <xf numFmtId="176" fontId="17" fillId="0" borderId="97" xfId="0" applyNumberFormat="1" applyFont="1" applyBorder="1" applyAlignment="1" applyProtection="1"/>
    <xf numFmtId="176" fontId="17" fillId="0" borderId="98" xfId="0" applyNumberFormat="1" applyFont="1" applyBorder="1" applyAlignment="1" applyProtection="1"/>
    <xf numFmtId="178" fontId="17" fillId="0" borderId="99" xfId="0" applyNumberFormat="1" applyFont="1" applyBorder="1" applyAlignment="1" applyProtection="1">
      <alignment horizontal="center"/>
    </xf>
    <xf numFmtId="176" fontId="17" fillId="0" borderId="100" xfId="0" applyNumberFormat="1" applyFont="1" applyBorder="1" applyAlignment="1" applyProtection="1"/>
    <xf numFmtId="176" fontId="17" fillId="0" borderId="101" xfId="0" applyNumberFormat="1" applyFont="1" applyBorder="1" applyAlignment="1" applyProtection="1"/>
    <xf numFmtId="176" fontId="7" fillId="0" borderId="97" xfId="0" applyNumberFormat="1" applyFont="1" applyBorder="1" applyAlignment="1" applyProtection="1"/>
    <xf numFmtId="177" fontId="1" fillId="0" borderId="102" xfId="0" applyNumberFormat="1" applyFont="1" applyBorder="1" applyAlignment="1" applyProtection="1">
      <alignment horizontal="center"/>
    </xf>
    <xf numFmtId="0" fontId="1" fillId="0" borderId="103" xfId="0" applyFont="1" applyBorder="1" applyAlignment="1" applyProtection="1">
      <alignment horizontal="center"/>
    </xf>
    <xf numFmtId="0" fontId="1" fillId="0" borderId="104" xfId="0" applyFont="1" applyBorder="1" applyAlignment="1" applyProtection="1">
      <alignment horizontal="center"/>
    </xf>
    <xf numFmtId="176" fontId="17" fillId="0" borderId="105" xfId="0" applyNumberFormat="1" applyFont="1" applyBorder="1" applyAlignment="1" applyProtection="1"/>
    <xf numFmtId="176" fontId="17" fillId="0" borderId="106" xfId="0" applyNumberFormat="1" applyFont="1" applyBorder="1" applyAlignment="1" applyProtection="1"/>
    <xf numFmtId="176" fontId="17" fillId="0" borderId="107" xfId="0" applyNumberFormat="1" applyFont="1" applyBorder="1" applyAlignment="1" applyProtection="1"/>
    <xf numFmtId="178" fontId="17" fillId="0" borderId="108" xfId="0" applyNumberFormat="1" applyFont="1" applyBorder="1" applyAlignment="1" applyProtection="1">
      <alignment horizontal="center"/>
    </xf>
    <xf numFmtId="176" fontId="17" fillId="0" borderId="109" xfId="0" applyNumberFormat="1" applyFont="1" applyBorder="1" applyAlignment="1" applyProtection="1"/>
    <xf numFmtId="176" fontId="17" fillId="0" borderId="110" xfId="0" applyNumberFormat="1" applyFont="1" applyBorder="1" applyAlignment="1" applyProtection="1"/>
    <xf numFmtId="176" fontId="7" fillId="0" borderId="106" xfId="0" applyNumberFormat="1" applyFont="1" applyBorder="1" applyAlignment="1" applyProtection="1"/>
    <xf numFmtId="177" fontId="1" fillId="0" borderId="111" xfId="0" applyNumberFormat="1" applyFont="1" applyBorder="1" applyAlignment="1" applyProtection="1">
      <alignment horizontal="center"/>
    </xf>
    <xf numFmtId="0" fontId="1" fillId="0" borderId="112" xfId="0" applyFont="1" applyBorder="1" applyAlignment="1" applyProtection="1">
      <alignment horizontal="center"/>
    </xf>
    <xf numFmtId="0" fontId="1" fillId="0" borderId="113" xfId="0" applyFont="1" applyBorder="1" applyAlignment="1" applyProtection="1">
      <alignment horizontal="center"/>
    </xf>
    <xf numFmtId="178" fontId="17" fillId="0" borderId="114" xfId="0" applyNumberFormat="1" applyFont="1" applyBorder="1" applyAlignment="1" applyProtection="1">
      <alignment horizontal="center"/>
    </xf>
    <xf numFmtId="176" fontId="14" fillId="7" borderId="11" xfId="0" applyNumberFormat="1" applyFont="1" applyFill="1" applyBorder="1" applyAlignment="1" applyProtection="1"/>
    <xf numFmtId="176" fontId="14" fillId="7" borderId="115" xfId="0" applyNumberFormat="1" applyFont="1" applyFill="1" applyBorder="1" applyAlignment="1" applyProtection="1"/>
    <xf numFmtId="176" fontId="14" fillId="7" borderId="116" xfId="0" applyNumberFormat="1" applyFont="1" applyFill="1" applyBorder="1" applyAlignment="1" applyProtection="1"/>
    <xf numFmtId="176" fontId="14" fillId="7" borderId="14" xfId="0" applyNumberFormat="1" applyFont="1" applyFill="1" applyBorder="1" applyAlignment="1" applyProtection="1"/>
    <xf numFmtId="176" fontId="7" fillId="7" borderId="117" xfId="0" applyNumberFormat="1" applyFont="1" applyFill="1" applyBorder="1" applyAlignment="1" applyProtection="1"/>
    <xf numFmtId="176" fontId="7" fillId="7" borderId="118" xfId="0" applyNumberFormat="1" applyFont="1" applyFill="1" applyBorder="1" applyAlignment="1" applyProtection="1"/>
    <xf numFmtId="176" fontId="7" fillId="7" borderId="119" xfId="0" applyNumberFormat="1" applyFont="1" applyFill="1" applyBorder="1" applyAlignment="1" applyProtection="1"/>
    <xf numFmtId="176" fontId="7" fillId="7" borderId="30" xfId="0" applyNumberFormat="1" applyFont="1" applyFill="1" applyBorder="1" applyAlignment="1" applyProtection="1"/>
    <xf numFmtId="49" fontId="17" fillId="7" borderId="121" xfId="0" applyNumberFormat="1" applyFont="1" applyFill="1" applyBorder="1" applyAlignment="1" applyProtection="1">
      <alignment horizontal="center" vertical="center"/>
    </xf>
    <xf numFmtId="0" fontId="6" fillId="0" borderId="0" xfId="0" applyFont="1" applyAlignment="1" applyProtection="1">
      <alignment horizontal="right" vertical="center"/>
    </xf>
    <xf numFmtId="0" fontId="0" fillId="15" borderId="19" xfId="0" applyFill="1" applyBorder="1"/>
    <xf numFmtId="192" fontId="0" fillId="0" borderId="19" xfId="0" applyNumberFormat="1" applyBorder="1"/>
    <xf numFmtId="0" fontId="1" fillId="0" borderId="0" xfId="0" applyFont="1" applyFill="1" applyProtection="1"/>
    <xf numFmtId="0" fontId="5" fillId="0" borderId="0" xfId="0" applyFont="1" applyFill="1" applyAlignment="1" applyProtection="1">
      <alignment horizontal="left"/>
    </xf>
    <xf numFmtId="0" fontId="0" fillId="0" borderId="0" xfId="0" applyFill="1" applyAlignment="1" applyProtection="1">
      <alignment horizontal="left"/>
    </xf>
    <xf numFmtId="49" fontId="1" fillId="0" borderId="0" xfId="0" applyNumberFormat="1" applyFont="1" applyFill="1" applyBorder="1" applyAlignment="1" applyProtection="1">
      <alignment horizontal="right"/>
    </xf>
    <xf numFmtId="57" fontId="0" fillId="0" borderId="0" xfId="0" applyNumberFormat="1" applyFill="1" applyProtection="1"/>
    <xf numFmtId="0" fontId="15" fillId="0" borderId="0" xfId="0" applyFont="1" applyFill="1" applyProtection="1"/>
    <xf numFmtId="0" fontId="0" fillId="10" borderId="0" xfId="0" applyFill="1" applyProtection="1"/>
    <xf numFmtId="0" fontId="12" fillId="10" borderId="0" xfId="0" applyFont="1" applyFill="1" applyProtection="1"/>
    <xf numFmtId="0" fontId="0" fillId="10" borderId="0" xfId="0" applyFill="1" applyAlignment="1" applyProtection="1">
      <alignment horizontal="center"/>
    </xf>
    <xf numFmtId="0" fontId="5" fillId="14" borderId="6" xfId="0" applyFont="1" applyFill="1" applyBorder="1" applyAlignment="1" applyProtection="1">
      <alignment horizontal="center" vertical="center" textRotation="255"/>
    </xf>
    <xf numFmtId="0" fontId="16" fillId="14" borderId="0" xfId="0" applyFont="1" applyFill="1" applyBorder="1" applyAlignment="1" applyProtection="1">
      <alignment horizontal="center" vertical="center"/>
    </xf>
    <xf numFmtId="191" fontId="16" fillId="14" borderId="0" xfId="0" applyNumberFormat="1" applyFont="1" applyFill="1" applyBorder="1" applyAlignment="1" applyProtection="1">
      <alignment horizontal="left" vertical="center"/>
    </xf>
    <xf numFmtId="0" fontId="16" fillId="14" borderId="5" xfId="0" applyFont="1" applyFill="1" applyBorder="1" applyAlignment="1" applyProtection="1">
      <alignment horizontal="center" vertical="center"/>
    </xf>
    <xf numFmtId="0" fontId="16" fillId="14" borderId="81" xfId="0" applyFont="1" applyFill="1" applyBorder="1" applyAlignment="1" applyProtection="1">
      <alignment horizontal="left" vertical="center"/>
    </xf>
    <xf numFmtId="0" fontId="16" fillId="14" borderId="82" xfId="0" applyNumberFormat="1" applyFont="1" applyFill="1" applyBorder="1" applyAlignment="1" applyProtection="1">
      <alignment horizontal="left" vertical="center"/>
    </xf>
    <xf numFmtId="20" fontId="16" fillId="14" borderId="82" xfId="0" applyNumberFormat="1" applyFont="1" applyFill="1" applyBorder="1" applyAlignment="1" applyProtection="1">
      <alignment horizontal="left" vertical="center"/>
    </xf>
    <xf numFmtId="0" fontId="16" fillId="14" borderId="82" xfId="0" applyFont="1" applyFill="1" applyBorder="1" applyAlignment="1" applyProtection="1">
      <alignment horizontal="left" vertical="center"/>
    </xf>
    <xf numFmtId="196" fontId="16" fillId="14" borderId="82" xfId="0" applyNumberFormat="1" applyFont="1" applyFill="1" applyBorder="1" applyAlignment="1" applyProtection="1">
      <alignment horizontal="left" vertical="center"/>
    </xf>
    <xf numFmtId="0" fontId="16" fillId="14" borderId="83" xfId="0" applyFont="1" applyFill="1" applyBorder="1" applyAlignment="1" applyProtection="1">
      <alignment horizontal="left" vertical="center"/>
    </xf>
    <xf numFmtId="0" fontId="16" fillId="0" borderId="122" xfId="0" applyFont="1" applyFill="1" applyBorder="1" applyAlignment="1" applyProtection="1">
      <alignment horizontal="center" vertical="center"/>
    </xf>
    <xf numFmtId="191" fontId="16" fillId="0" borderId="122" xfId="0" applyNumberFormat="1" applyFont="1" applyFill="1" applyBorder="1" applyAlignment="1" applyProtection="1">
      <alignment horizontal="left" vertical="center"/>
      <protection locked="0"/>
    </xf>
    <xf numFmtId="0" fontId="16" fillId="14" borderId="123" xfId="0" applyFont="1" applyFill="1" applyBorder="1" applyAlignment="1" applyProtection="1">
      <alignment horizontal="center" vertical="center"/>
    </xf>
    <xf numFmtId="20" fontId="16" fillId="0" borderId="122" xfId="0" applyNumberFormat="1" applyFont="1" applyFill="1" applyBorder="1" applyAlignment="1" applyProtection="1">
      <alignment horizontal="center" vertical="center"/>
    </xf>
    <xf numFmtId="0" fontId="16" fillId="14" borderId="107" xfId="0" applyFont="1" applyFill="1" applyBorder="1" applyAlignment="1" applyProtection="1">
      <alignment horizontal="left" vertical="center"/>
    </xf>
    <xf numFmtId="0" fontId="16" fillId="14" borderId="104" xfId="0" applyFont="1" applyFill="1" applyBorder="1" applyAlignment="1" applyProtection="1">
      <alignment horizontal="center" vertical="center"/>
    </xf>
    <xf numFmtId="0" fontId="16" fillId="14" borderId="124" xfId="0" applyFont="1" applyFill="1" applyBorder="1" applyAlignment="1" applyProtection="1">
      <alignment horizontal="left" vertical="center"/>
    </xf>
    <xf numFmtId="0" fontId="16" fillId="14" borderId="98" xfId="0" applyFont="1" applyFill="1" applyBorder="1" applyAlignment="1" applyProtection="1">
      <alignment horizontal="left" vertical="center"/>
    </xf>
    <xf numFmtId="0" fontId="16" fillId="14" borderId="95" xfId="0" applyNumberFormat="1" applyFont="1" applyFill="1" applyBorder="1" applyAlignment="1" applyProtection="1">
      <alignment horizontal="left" vertical="center"/>
    </xf>
    <xf numFmtId="0" fontId="16" fillId="14" borderId="125" xfId="0" applyFont="1" applyFill="1" applyBorder="1" applyAlignment="1" applyProtection="1">
      <alignment horizontal="center" vertical="center"/>
    </xf>
    <xf numFmtId="0" fontId="16" fillId="14" borderId="126" xfId="0" applyNumberFormat="1" applyFont="1" applyFill="1" applyBorder="1" applyAlignment="1" applyProtection="1">
      <alignment horizontal="left" vertical="center"/>
    </xf>
    <xf numFmtId="0" fontId="16" fillId="14" borderId="105" xfId="0" applyFont="1" applyFill="1" applyBorder="1" applyAlignment="1" applyProtection="1">
      <alignment horizontal="center" vertical="center"/>
    </xf>
    <xf numFmtId="0" fontId="16" fillId="14" borderId="127" xfId="0" applyFont="1" applyFill="1" applyBorder="1" applyAlignment="1" applyProtection="1">
      <alignment horizontal="center" vertical="center"/>
    </xf>
    <xf numFmtId="0" fontId="16" fillId="14" borderId="128" xfId="0" applyFont="1" applyFill="1" applyBorder="1" applyAlignment="1" applyProtection="1">
      <alignment horizontal="center" vertical="center"/>
    </xf>
    <xf numFmtId="0" fontId="16" fillId="14" borderId="106" xfId="0" applyFont="1" applyFill="1" applyBorder="1" applyAlignment="1" applyProtection="1">
      <alignment horizontal="left" vertical="center"/>
    </xf>
    <xf numFmtId="0" fontId="16" fillId="14" borderId="129" xfId="0" applyFont="1" applyFill="1" applyBorder="1" applyAlignment="1" applyProtection="1">
      <alignment horizontal="left" vertical="center"/>
    </xf>
    <xf numFmtId="0" fontId="16" fillId="14" borderId="131" xfId="0" applyFont="1" applyFill="1" applyBorder="1" applyAlignment="1" applyProtection="1">
      <alignment horizontal="left" vertical="center"/>
    </xf>
    <xf numFmtId="0" fontId="16" fillId="14" borderId="132" xfId="0" applyFont="1" applyFill="1" applyBorder="1" applyAlignment="1" applyProtection="1">
      <alignment horizontal="left" vertical="center"/>
    </xf>
    <xf numFmtId="0" fontId="22" fillId="0" borderId="122" xfId="0" applyFont="1" applyFill="1" applyBorder="1" applyAlignment="1" applyProtection="1">
      <alignment horizontal="center" vertical="center"/>
      <protection locked="0"/>
    </xf>
    <xf numFmtId="196" fontId="22" fillId="0" borderId="133" xfId="0" applyNumberFormat="1" applyFont="1" applyFill="1" applyBorder="1" applyAlignment="1" applyProtection="1">
      <alignment horizontal="center" vertical="center"/>
      <protection locked="0"/>
    </xf>
    <xf numFmtId="0" fontId="16" fillId="14" borderId="134" xfId="0" applyFont="1" applyFill="1" applyBorder="1" applyAlignment="1" applyProtection="1">
      <alignment horizontal="center" vertical="center"/>
    </xf>
    <xf numFmtId="0" fontId="16" fillId="14" borderId="135" xfId="0" applyFont="1" applyFill="1" applyBorder="1" applyAlignment="1" applyProtection="1">
      <alignment horizontal="center" vertical="center"/>
    </xf>
    <xf numFmtId="0" fontId="16" fillId="14" borderId="133" xfId="0" applyFont="1" applyFill="1" applyBorder="1" applyAlignment="1" applyProtection="1">
      <alignment horizontal="center" vertical="center"/>
    </xf>
    <xf numFmtId="186" fontId="14" fillId="0" borderId="71" xfId="0" applyNumberFormat="1" applyFont="1" applyFill="1" applyBorder="1" applyAlignment="1" applyProtection="1">
      <alignment horizontal="right" vertical="center"/>
    </xf>
    <xf numFmtId="187" fontId="14" fillId="0" borderId="71" xfId="0" applyNumberFormat="1" applyFont="1" applyFill="1" applyBorder="1" applyAlignment="1" applyProtection="1">
      <alignment horizontal="right" vertical="center"/>
    </xf>
    <xf numFmtId="0" fontId="14" fillId="0" borderId="74" xfId="0" applyFont="1" applyFill="1" applyBorder="1" applyAlignment="1" applyProtection="1">
      <alignment horizontal="center" vertical="center"/>
    </xf>
    <xf numFmtId="0" fontId="14" fillId="0" borderId="70" xfId="0" applyFont="1" applyFill="1" applyBorder="1" applyAlignment="1" applyProtection="1">
      <alignment horizontal="center" vertical="center"/>
    </xf>
    <xf numFmtId="0" fontId="14" fillId="0" borderId="79" xfId="0" applyFont="1" applyFill="1" applyBorder="1" applyAlignment="1" applyProtection="1">
      <alignment horizontal="center" vertical="center"/>
    </xf>
    <xf numFmtId="0" fontId="10" fillId="0" borderId="0" xfId="0" applyFont="1" applyFill="1" applyAlignment="1" applyProtection="1">
      <alignment vertical="center"/>
    </xf>
    <xf numFmtId="0" fontId="10" fillId="0" borderId="0" xfId="0" applyNumberFormat="1" applyFont="1" applyFill="1" applyAlignment="1" applyProtection="1">
      <alignment vertical="center"/>
    </xf>
    <xf numFmtId="0" fontId="32" fillId="0" borderId="86" xfId="0" applyFont="1" applyFill="1" applyBorder="1" applyAlignment="1" applyProtection="1">
      <alignment horizontal="center" vertical="center"/>
    </xf>
    <xf numFmtId="0" fontId="32" fillId="0" borderId="73" xfId="0" applyFont="1" applyFill="1" applyBorder="1" applyAlignment="1" applyProtection="1">
      <alignment horizontal="center" vertical="center"/>
    </xf>
    <xf numFmtId="0" fontId="32" fillId="0" borderId="87" xfId="0" applyFont="1" applyFill="1" applyBorder="1" applyAlignment="1" applyProtection="1">
      <alignment horizontal="center" vertical="center"/>
    </xf>
    <xf numFmtId="1" fontId="32" fillId="0" borderId="18" xfId="0" applyNumberFormat="1" applyFont="1" applyFill="1" applyBorder="1" applyAlignment="1" applyProtection="1">
      <alignment horizontal="center"/>
    </xf>
    <xf numFmtId="1" fontId="32" fillId="0" borderId="5" xfId="0" applyNumberFormat="1" applyFont="1" applyFill="1" applyBorder="1" applyAlignment="1" applyProtection="1">
      <alignment horizontal="center"/>
    </xf>
    <xf numFmtId="176" fontId="14" fillId="0" borderId="11" xfId="0" applyNumberFormat="1" applyFont="1" applyFill="1" applyBorder="1" applyAlignment="1" applyProtection="1"/>
    <xf numFmtId="176" fontId="14" fillId="0" borderId="115" xfId="0" applyNumberFormat="1" applyFont="1" applyFill="1" applyBorder="1" applyAlignment="1" applyProtection="1"/>
    <xf numFmtId="176" fontId="14" fillId="0" borderId="116" xfId="0" applyNumberFormat="1" applyFont="1" applyFill="1" applyBorder="1" applyAlignment="1" applyProtection="1"/>
    <xf numFmtId="176" fontId="14" fillId="0" borderId="11" xfId="0" quotePrefix="1" applyNumberFormat="1" applyFont="1" applyFill="1" applyBorder="1" applyAlignment="1" applyProtection="1"/>
    <xf numFmtId="176" fontId="14" fillId="0" borderId="115" xfId="0" quotePrefix="1" applyNumberFormat="1" applyFont="1" applyFill="1" applyBorder="1" applyAlignment="1" applyProtection="1"/>
    <xf numFmtId="176" fontId="14" fillId="0" borderId="116" xfId="0" quotePrefix="1" applyNumberFormat="1" applyFont="1" applyFill="1" applyBorder="1" applyAlignment="1" applyProtection="1"/>
    <xf numFmtId="176" fontId="34" fillId="7" borderId="31" xfId="0" applyNumberFormat="1" applyFont="1" applyFill="1" applyBorder="1" applyProtection="1"/>
    <xf numFmtId="0" fontId="18" fillId="7" borderId="136" xfId="0" applyFont="1" applyFill="1" applyBorder="1" applyAlignment="1" applyProtection="1">
      <alignment horizontal="center" vertical="center"/>
    </xf>
    <xf numFmtId="20" fontId="5" fillId="7" borderId="13" xfId="0" applyNumberFormat="1" applyFont="1" applyFill="1" applyBorder="1" applyAlignment="1">
      <alignment horizontal="center" vertical="center" wrapText="1"/>
    </xf>
    <xf numFmtId="0" fontId="0" fillId="10" borderId="18" xfId="0" applyFill="1" applyBorder="1" applyAlignment="1" applyProtection="1">
      <alignment horizontal="center" vertical="center"/>
    </xf>
    <xf numFmtId="0" fontId="0" fillId="10" borderId="19" xfId="0" applyFill="1" applyBorder="1" applyAlignment="1">
      <alignment horizontal="center" vertical="center"/>
    </xf>
    <xf numFmtId="178" fontId="1" fillId="10" borderId="13" xfId="0" applyNumberFormat="1" applyFont="1" applyFill="1" applyBorder="1" applyAlignment="1" applyProtection="1">
      <alignment horizontal="left"/>
      <protection locked="0"/>
    </xf>
    <xf numFmtId="176" fontId="0" fillId="7" borderId="0" xfId="0" applyNumberFormat="1" applyFill="1" applyProtection="1"/>
    <xf numFmtId="0" fontId="0" fillId="0" borderId="0" xfId="0" applyProtection="1">
      <protection locked="0"/>
    </xf>
    <xf numFmtId="0" fontId="0" fillId="0" borderId="13" xfId="0" applyFill="1" applyBorder="1" applyProtection="1">
      <protection locked="0"/>
    </xf>
    <xf numFmtId="176" fontId="0" fillId="0" borderId="13" xfId="0" applyNumberFormat="1" applyFill="1" applyBorder="1" applyAlignment="1" applyProtection="1">
      <protection locked="0"/>
    </xf>
    <xf numFmtId="0" fontId="0" fillId="0" borderId="13" xfId="0" applyFill="1" applyBorder="1" applyAlignment="1" applyProtection="1">
      <alignment horizontal="left"/>
      <protection locked="0"/>
    </xf>
    <xf numFmtId="176" fontId="1" fillId="0" borderId="13" xfId="0" applyNumberFormat="1" applyFont="1" applyFill="1" applyBorder="1" applyAlignment="1" applyProtection="1">
      <protection locked="0"/>
    </xf>
    <xf numFmtId="0" fontId="1" fillId="0" borderId="13" xfId="0" applyFont="1" applyFill="1" applyBorder="1" applyAlignment="1" applyProtection="1">
      <alignment horizontal="left"/>
      <protection locked="0"/>
    </xf>
    <xf numFmtId="0" fontId="1" fillId="0" borderId="13" xfId="0" applyFont="1" applyFill="1" applyBorder="1" applyProtection="1">
      <protection locked="0"/>
    </xf>
    <xf numFmtId="0" fontId="0" fillId="0" borderId="13" xfId="0" applyBorder="1" applyProtection="1">
      <protection locked="0"/>
    </xf>
    <xf numFmtId="176" fontId="0" fillId="0" borderId="13" xfId="0" applyNumberFormat="1" applyBorder="1" applyProtection="1">
      <protection locked="0"/>
    </xf>
    <xf numFmtId="0" fontId="0" fillId="0" borderId="13" xfId="0" applyBorder="1" applyAlignment="1" applyProtection="1">
      <alignment horizontal="left"/>
      <protection locked="0"/>
    </xf>
    <xf numFmtId="176" fontId="0" fillId="0" borderId="13" xfId="0" applyNumberFormat="1" applyFill="1" applyBorder="1" applyAlignment="1" applyProtection="1"/>
    <xf numFmtId="0" fontId="0" fillId="7" borderId="13" xfId="0" applyFill="1" applyBorder="1" applyAlignment="1" applyProtection="1">
      <alignment horizontal="center"/>
      <protection locked="0"/>
    </xf>
    <xf numFmtId="176" fontId="0" fillId="7" borderId="0" xfId="0" applyNumberFormat="1" applyFill="1" applyProtection="1">
      <protection locked="0"/>
    </xf>
    <xf numFmtId="176" fontId="0" fillId="0" borderId="14" xfId="0" applyNumberFormat="1" applyFill="1" applyBorder="1" applyProtection="1">
      <protection locked="0"/>
    </xf>
    <xf numFmtId="176" fontId="0" fillId="0" borderId="13" xfId="0" applyNumberFormat="1" applyFill="1" applyBorder="1" applyProtection="1"/>
    <xf numFmtId="0" fontId="0" fillId="0" borderId="13" xfId="0" applyBorder="1" applyProtection="1"/>
    <xf numFmtId="0" fontId="14" fillId="7" borderId="13" xfId="0" applyNumberFormat="1" applyFont="1" applyFill="1" applyBorder="1" applyAlignment="1" applyProtection="1">
      <alignment horizontal="center" vertical="center" wrapText="1"/>
    </xf>
    <xf numFmtId="176" fontId="37" fillId="0" borderId="0" xfId="0" applyNumberFormat="1" applyFont="1" applyProtection="1"/>
    <xf numFmtId="20" fontId="1" fillId="10" borderId="13" xfId="0" applyNumberFormat="1" applyFont="1" applyFill="1" applyBorder="1" applyAlignment="1" applyProtection="1">
      <alignment horizontal="center"/>
      <protection locked="0"/>
    </xf>
    <xf numFmtId="176" fontId="1" fillId="10" borderId="13" xfId="0" applyNumberFormat="1" applyFont="1" applyFill="1" applyBorder="1" applyAlignment="1" applyProtection="1">
      <alignment horizontal="center"/>
      <protection locked="0"/>
    </xf>
    <xf numFmtId="57" fontId="1" fillId="0" borderId="13" xfId="0" applyNumberFormat="1" applyFont="1" applyFill="1" applyBorder="1" applyProtection="1">
      <protection locked="0"/>
    </xf>
    <xf numFmtId="0" fontId="1" fillId="2" borderId="0" xfId="0" applyFont="1" applyFill="1" applyProtection="1"/>
    <xf numFmtId="0" fontId="0" fillId="0" borderId="0" xfId="0" applyBorder="1" applyProtection="1"/>
    <xf numFmtId="186" fontId="14" fillId="0" borderId="80" xfId="0" applyNumberFormat="1" applyFont="1" applyFill="1" applyBorder="1" applyAlignment="1" applyProtection="1">
      <alignment horizontal="right" vertical="center"/>
    </xf>
    <xf numFmtId="186" fontId="14" fillId="0" borderId="79" xfId="0" applyNumberFormat="1" applyFont="1" applyFill="1" applyBorder="1" applyAlignment="1" applyProtection="1">
      <alignment horizontal="right" vertical="center"/>
    </xf>
    <xf numFmtId="0" fontId="0" fillId="7" borderId="6" xfId="0" applyFill="1" applyBorder="1" applyProtection="1"/>
    <xf numFmtId="0" fontId="0" fillId="7" borderId="0" xfId="0" applyFill="1" applyBorder="1" applyAlignment="1" applyProtection="1">
      <alignment horizontal="center"/>
    </xf>
    <xf numFmtId="0" fontId="0" fillId="7" borderId="5" xfId="0" applyFill="1" applyBorder="1" applyAlignment="1" applyProtection="1">
      <alignment horizontal="center"/>
    </xf>
    <xf numFmtId="0" fontId="0" fillId="19" borderId="0" xfId="0" applyFill="1" applyProtection="1"/>
    <xf numFmtId="0" fontId="1" fillId="7" borderId="9" xfId="0" applyFont="1" applyFill="1" applyBorder="1" applyProtection="1"/>
    <xf numFmtId="178" fontId="0" fillId="7" borderId="2" xfId="0" applyNumberFormat="1" applyFill="1" applyBorder="1" applyAlignment="1" applyProtection="1">
      <alignment horizontal="center" vertical="center"/>
    </xf>
    <xf numFmtId="176" fontId="5" fillId="7" borderId="3" xfId="0" applyNumberFormat="1" applyFont="1" applyFill="1" applyBorder="1" applyAlignment="1" applyProtection="1">
      <alignment horizontal="left"/>
    </xf>
    <xf numFmtId="178" fontId="1" fillId="7" borderId="9" xfId="0" applyNumberFormat="1" applyFont="1" applyFill="1" applyBorder="1" applyAlignment="1" applyProtection="1">
      <alignment horizontal="center" vertical="center"/>
    </xf>
    <xf numFmtId="0" fontId="32" fillId="0" borderId="73" xfId="0" applyFont="1" applyBorder="1" applyAlignment="1" applyProtection="1">
      <alignment horizontal="center" vertical="center"/>
    </xf>
    <xf numFmtId="0" fontId="14" fillId="0" borderId="70" xfId="0" applyFont="1" applyBorder="1" applyAlignment="1" applyProtection="1">
      <alignment horizontal="center" vertical="center"/>
    </xf>
    <xf numFmtId="1" fontId="32" fillId="0" borderId="187" xfId="0" applyNumberFormat="1" applyFont="1" applyFill="1" applyBorder="1" applyAlignment="1" applyProtection="1">
      <alignment horizontal="center"/>
    </xf>
    <xf numFmtId="1" fontId="32" fillId="0" borderId="188" xfId="0" applyNumberFormat="1" applyFont="1" applyFill="1" applyBorder="1" applyAlignment="1" applyProtection="1">
      <alignment horizontal="center"/>
    </xf>
    <xf numFmtId="186" fontId="14" fillId="0" borderId="185" xfId="0" applyNumberFormat="1" applyFont="1" applyFill="1" applyBorder="1" applyAlignment="1" applyProtection="1">
      <alignment horizontal="right" vertical="center"/>
    </xf>
    <xf numFmtId="186" fontId="14" fillId="0" borderId="186" xfId="0" applyNumberFormat="1" applyFont="1" applyFill="1" applyBorder="1" applyAlignment="1" applyProtection="1">
      <alignment horizontal="right" vertical="center"/>
    </xf>
    <xf numFmtId="0" fontId="17" fillId="7" borderId="183" xfId="0" applyFont="1" applyFill="1" applyBorder="1" applyAlignment="1" applyProtection="1">
      <alignment horizontal="center" vertical="center"/>
    </xf>
    <xf numFmtId="0" fontId="17" fillId="7" borderId="184" xfId="0" applyFont="1" applyFill="1" applyBorder="1" applyAlignment="1" applyProtection="1">
      <alignment horizontal="center" vertical="center"/>
    </xf>
    <xf numFmtId="176" fontId="17" fillId="7" borderId="186" xfId="0" applyNumberFormat="1" applyFont="1" applyFill="1" applyBorder="1" applyAlignment="1" applyProtection="1">
      <alignment horizontal="center" vertical="center"/>
    </xf>
    <xf numFmtId="186" fontId="14" fillId="0" borderId="191" xfId="0" applyNumberFormat="1" applyFont="1" applyFill="1" applyBorder="1" applyAlignment="1" applyProtection="1">
      <alignment horizontal="right" vertical="center"/>
    </xf>
    <xf numFmtId="186" fontId="14" fillId="0" borderId="192" xfId="0" applyNumberFormat="1" applyFont="1" applyFill="1" applyBorder="1" applyAlignment="1" applyProtection="1">
      <alignment horizontal="right" vertical="center"/>
    </xf>
    <xf numFmtId="1" fontId="32" fillId="0" borderId="0" xfId="0" applyNumberFormat="1" applyFont="1" applyFill="1" applyBorder="1" applyAlignment="1" applyProtection="1">
      <alignment horizontal="center"/>
    </xf>
    <xf numFmtId="187" fontId="14" fillId="0" borderId="70" xfId="0" applyNumberFormat="1" applyFont="1" applyFill="1" applyBorder="1" applyAlignment="1" applyProtection="1">
      <alignment horizontal="right" vertical="center"/>
    </xf>
    <xf numFmtId="0" fontId="17" fillId="7" borderId="147" xfId="0" applyFont="1" applyFill="1" applyBorder="1" applyAlignment="1" applyProtection="1">
      <alignment horizontal="center" vertical="center"/>
    </xf>
    <xf numFmtId="1" fontId="32" fillId="0" borderId="147" xfId="0" applyNumberFormat="1" applyFont="1" applyFill="1" applyBorder="1" applyAlignment="1" applyProtection="1">
      <alignment horizontal="center"/>
    </xf>
    <xf numFmtId="187" fontId="14" fillId="0" borderId="148" xfId="0" applyNumberFormat="1" applyFont="1" applyFill="1" applyBorder="1" applyAlignment="1" applyProtection="1">
      <alignment horizontal="right" vertical="center"/>
    </xf>
    <xf numFmtId="0" fontId="17" fillId="7" borderId="193" xfId="0" applyFont="1" applyFill="1" applyBorder="1" applyAlignment="1" applyProtection="1">
      <alignment horizontal="center" vertical="center"/>
    </xf>
    <xf numFmtId="176" fontId="17" fillId="7" borderId="194" xfId="0" applyNumberFormat="1" applyFont="1" applyFill="1" applyBorder="1" applyAlignment="1" applyProtection="1">
      <alignment horizontal="center" vertical="center"/>
    </xf>
    <xf numFmtId="197" fontId="32" fillId="0" borderId="188" xfId="0" applyNumberFormat="1" applyFont="1" applyFill="1" applyBorder="1" applyAlignment="1" applyProtection="1">
      <alignment horizontal="center"/>
    </xf>
    <xf numFmtId="187" fontId="14" fillId="0" borderId="185" xfId="0" applyNumberFormat="1" applyFont="1" applyFill="1" applyBorder="1" applyAlignment="1" applyProtection="1">
      <alignment horizontal="right" vertical="center"/>
    </xf>
    <xf numFmtId="188" fontId="14" fillId="0" borderId="186" xfId="0" applyNumberFormat="1" applyFont="1" applyFill="1" applyBorder="1" applyAlignment="1" applyProtection="1">
      <alignment horizontal="right" vertical="center"/>
    </xf>
    <xf numFmtId="176" fontId="17" fillId="7" borderId="196" xfId="0" applyNumberFormat="1" applyFont="1" applyFill="1" applyBorder="1" applyAlignment="1" applyProtection="1">
      <alignment horizontal="center" vertical="center"/>
    </xf>
    <xf numFmtId="176" fontId="17" fillId="7" borderId="185" xfId="0" applyNumberFormat="1" applyFont="1" applyFill="1" applyBorder="1" applyAlignment="1" applyProtection="1">
      <alignment horizontal="center" vertical="top"/>
    </xf>
    <xf numFmtId="176" fontId="17" fillId="7" borderId="186" xfId="0" applyNumberFormat="1" applyFont="1" applyFill="1" applyBorder="1" applyAlignment="1" applyProtection="1">
      <alignment horizontal="center" vertical="top"/>
    </xf>
    <xf numFmtId="176" fontId="17" fillId="7" borderId="70" xfId="0" applyNumberFormat="1" applyFont="1" applyFill="1" applyBorder="1" applyAlignment="1" applyProtection="1">
      <alignment horizontal="center" vertical="top"/>
    </xf>
    <xf numFmtId="176" fontId="17" fillId="7" borderId="71" xfId="0" applyNumberFormat="1" applyFont="1" applyFill="1" applyBorder="1" applyAlignment="1" applyProtection="1">
      <alignment horizontal="center" vertical="top"/>
    </xf>
    <xf numFmtId="176" fontId="17" fillId="7" borderId="148" xfId="0" applyNumberFormat="1" applyFont="1" applyFill="1" applyBorder="1" applyAlignment="1" applyProtection="1">
      <alignment horizontal="center" vertical="top"/>
    </xf>
    <xf numFmtId="176" fontId="34" fillId="7" borderId="32" xfId="0" applyNumberFormat="1" applyFont="1" applyFill="1" applyBorder="1" applyProtection="1"/>
    <xf numFmtId="176" fontId="33" fillId="7" borderId="31" xfId="0" applyNumberFormat="1" applyFont="1" applyFill="1" applyBorder="1" applyProtection="1"/>
    <xf numFmtId="57" fontId="0" fillId="10" borderId="0" xfId="0" applyNumberFormat="1" applyFill="1" applyBorder="1" applyProtection="1"/>
    <xf numFmtId="0" fontId="0" fillId="10" borderId="0" xfId="0" applyFill="1" applyBorder="1" applyProtection="1"/>
    <xf numFmtId="0" fontId="0" fillId="20" borderId="13" xfId="0" applyFill="1" applyBorder="1" applyAlignment="1" applyProtection="1">
      <alignment horizontal="center"/>
    </xf>
    <xf numFmtId="0" fontId="1" fillId="20" borderId="0" xfId="0" applyFont="1" applyFill="1" applyAlignment="1" applyProtection="1">
      <alignment horizontal="left"/>
    </xf>
    <xf numFmtId="0" fontId="0" fillId="20" borderId="0" xfId="0" applyFill="1" applyProtection="1"/>
    <xf numFmtId="0" fontId="1" fillId="20" borderId="0" xfId="0" applyFont="1" applyFill="1" applyBorder="1" applyProtection="1"/>
    <xf numFmtId="0" fontId="3" fillId="20" borderId="13" xfId="0" applyFont="1" applyFill="1" applyBorder="1" applyAlignment="1" applyProtection="1">
      <alignment horizontal="center"/>
    </xf>
    <xf numFmtId="0" fontId="1" fillId="20" borderId="0" xfId="0" applyFont="1" applyFill="1" applyProtection="1"/>
    <xf numFmtId="0" fontId="0" fillId="21" borderId="11" xfId="0" applyFill="1" applyBorder="1" applyAlignment="1" applyProtection="1">
      <alignment vertical="center"/>
    </xf>
    <xf numFmtId="0" fontId="0" fillId="21" borderId="6" xfId="0" applyFill="1" applyBorder="1" applyAlignment="1" applyProtection="1">
      <alignment vertical="center"/>
    </xf>
    <xf numFmtId="0" fontId="0" fillId="21" borderId="0" xfId="0" applyFill="1" applyBorder="1" applyAlignment="1" applyProtection="1">
      <alignment vertical="center"/>
    </xf>
    <xf numFmtId="176" fontId="0" fillId="21" borderId="5" xfId="0" applyNumberFormat="1" applyFill="1" applyBorder="1" applyProtection="1"/>
    <xf numFmtId="0" fontId="0" fillId="21" borderId="9" xfId="0" applyFill="1" applyBorder="1" applyAlignment="1" applyProtection="1">
      <alignment vertical="center"/>
    </xf>
    <xf numFmtId="0" fontId="0" fillId="0" borderId="0" xfId="0" applyFill="1" applyBorder="1" applyAlignment="1" applyProtection="1">
      <alignment vertical="center"/>
    </xf>
    <xf numFmtId="0" fontId="0" fillId="22" borderId="0" xfId="0" applyFill="1" applyProtection="1"/>
    <xf numFmtId="0" fontId="0" fillId="22" borderId="0" xfId="0" applyFill="1" applyAlignment="1" applyProtection="1">
      <alignment vertical="center"/>
    </xf>
    <xf numFmtId="0" fontId="37" fillId="0" borderId="0" xfId="0" applyFont="1" applyFill="1" applyBorder="1" applyAlignment="1" applyProtection="1">
      <alignment vertical="center"/>
    </xf>
    <xf numFmtId="0" fontId="6" fillId="19" borderId="186" xfId="0" applyFont="1" applyFill="1" applyBorder="1" applyAlignment="1" applyProtection="1">
      <alignment horizontal="left" vertical="center" wrapText="1"/>
    </xf>
    <xf numFmtId="178" fontId="1" fillId="10" borderId="1" xfId="0" applyNumberFormat="1" applyFont="1" applyFill="1" applyBorder="1" applyAlignment="1" applyProtection="1">
      <alignment horizontal="center"/>
      <protection locked="0"/>
    </xf>
    <xf numFmtId="0" fontId="0" fillId="23" borderId="0" xfId="0" applyFill="1" applyProtection="1"/>
    <xf numFmtId="0" fontId="0" fillId="23" borderId="0" xfId="0" applyFill="1" applyAlignment="1" applyProtection="1">
      <alignment horizontal="center"/>
    </xf>
    <xf numFmtId="0" fontId="0" fillId="22" borderId="0" xfId="0" applyFill="1" applyAlignment="1" applyProtection="1">
      <alignment horizontal="center"/>
    </xf>
    <xf numFmtId="0" fontId="0" fillId="22" borderId="0" xfId="0" applyFill="1" applyBorder="1" applyAlignment="1" applyProtection="1">
      <alignment horizontal="center"/>
    </xf>
    <xf numFmtId="0" fontId="0" fillId="22" borderId="0" xfId="0" applyFill="1" applyBorder="1" applyAlignment="1">
      <alignment horizontal="center" vertical="center"/>
    </xf>
    <xf numFmtId="0" fontId="1" fillId="22" borderId="0" xfId="0" applyFont="1" applyFill="1" applyProtection="1"/>
    <xf numFmtId="176" fontId="1" fillId="22" borderId="0" xfId="0" applyNumberFormat="1" applyFont="1" applyFill="1" applyProtection="1"/>
    <xf numFmtId="176" fontId="0" fillId="22" borderId="0" xfId="0" applyNumberFormat="1" applyFill="1" applyProtection="1"/>
    <xf numFmtId="176" fontId="0" fillId="22" borderId="0" xfId="0" applyNumberFormat="1" applyFill="1" applyAlignment="1" applyProtection="1">
      <alignment horizontal="center"/>
    </xf>
    <xf numFmtId="0" fontId="0" fillId="22" borderId="0" xfId="0" applyNumberFormat="1" applyFill="1" applyProtection="1"/>
    <xf numFmtId="176" fontId="0" fillId="22" borderId="0" xfId="0" applyNumberFormat="1" applyFill="1" applyBorder="1" applyProtection="1"/>
    <xf numFmtId="0" fontId="12" fillId="22" borderId="0" xfId="0" applyFont="1" applyFill="1" applyAlignment="1" applyProtection="1">
      <alignment horizontal="right"/>
    </xf>
    <xf numFmtId="0" fontId="1" fillId="22" borderId="6" xfId="0" applyFont="1" applyFill="1" applyBorder="1" applyAlignment="1" applyProtection="1">
      <alignment horizontal="center" vertical="center"/>
    </xf>
    <xf numFmtId="0" fontId="1" fillId="22" borderId="0" xfId="0" applyFont="1" applyFill="1" applyBorder="1" applyAlignment="1" applyProtection="1">
      <alignment horizontal="center" vertical="center"/>
    </xf>
    <xf numFmtId="0" fontId="0" fillId="22" borderId="0" xfId="0" applyFill="1" applyAlignment="1" applyProtection="1">
      <alignment horizontal="right"/>
    </xf>
    <xf numFmtId="0" fontId="0" fillId="22" borderId="6" xfId="0" applyFill="1" applyBorder="1" applyAlignment="1">
      <alignment horizontal="center" vertical="center"/>
    </xf>
    <xf numFmtId="0" fontId="0" fillId="22" borderId="0" xfId="0" applyFill="1" applyBorder="1" applyAlignment="1" applyProtection="1">
      <alignment horizontal="center" vertical="top"/>
      <protection locked="0"/>
    </xf>
    <xf numFmtId="0" fontId="0" fillId="22" borderId="0" xfId="0" applyFill="1" applyBorder="1" applyAlignment="1" applyProtection="1">
      <protection locked="0"/>
    </xf>
    <xf numFmtId="0" fontId="0" fillId="22" borderId="6" xfId="0" applyFill="1" applyBorder="1" applyAlignment="1">
      <alignment vertical="top"/>
    </xf>
    <xf numFmtId="0" fontId="1" fillId="22" borderId="0" xfId="0" applyFont="1" applyFill="1" applyBorder="1" applyAlignment="1" applyProtection="1">
      <alignment vertical="top" wrapText="1"/>
      <protection locked="0"/>
    </xf>
    <xf numFmtId="0" fontId="0" fillId="22" borderId="0" xfId="0" applyFill="1" applyBorder="1" applyAlignment="1">
      <alignment vertical="top" wrapText="1"/>
    </xf>
    <xf numFmtId="0" fontId="1" fillId="7" borderId="6" xfId="0" applyFont="1" applyFill="1" applyBorder="1" applyProtection="1"/>
    <xf numFmtId="14" fontId="0" fillId="23" borderId="13" xfId="0" applyNumberFormat="1" applyFill="1" applyBorder="1" applyProtection="1"/>
    <xf numFmtId="0" fontId="3" fillId="23" borderId="1" xfId="0" applyFont="1" applyFill="1" applyBorder="1" applyProtection="1"/>
    <xf numFmtId="0" fontId="1" fillId="23" borderId="0" xfId="0" applyFont="1" applyFill="1" applyProtection="1"/>
    <xf numFmtId="0" fontId="1" fillId="24" borderId="0" xfId="0" applyFont="1" applyFill="1" applyProtection="1"/>
    <xf numFmtId="0" fontId="0" fillId="24" borderId="0" xfId="0" applyFill="1" applyProtection="1"/>
    <xf numFmtId="0" fontId="0" fillId="24" borderId="0" xfId="0" applyFill="1" applyAlignment="1" applyProtection="1">
      <alignment horizontal="center"/>
    </xf>
    <xf numFmtId="0" fontId="1" fillId="10" borderId="0" xfId="0" applyFont="1" applyFill="1" applyProtection="1"/>
    <xf numFmtId="0" fontId="1" fillId="23" borderId="0" xfId="0" quotePrefix="1" applyFont="1" applyFill="1" applyProtection="1"/>
    <xf numFmtId="0" fontId="0" fillId="0" borderId="182" xfId="0" applyBorder="1"/>
    <xf numFmtId="0" fontId="0" fillId="0" borderId="182" xfId="0" applyBorder="1" applyAlignment="1">
      <alignment horizontal="center"/>
    </xf>
    <xf numFmtId="0" fontId="0" fillId="12" borderId="198" xfId="0" applyFill="1" applyBorder="1"/>
    <xf numFmtId="0" fontId="0" fillId="0" borderId="200" xfId="0" applyBorder="1"/>
    <xf numFmtId="0" fontId="3" fillId="0" borderId="200" xfId="0" applyFont="1" applyBorder="1"/>
    <xf numFmtId="0" fontId="3" fillId="0" borderId="200" xfId="0" applyFont="1" applyBorder="1" applyAlignment="1">
      <alignment horizontal="right"/>
    </xf>
    <xf numFmtId="14" fontId="0" fillId="7" borderId="14" xfId="0" applyNumberFormat="1" applyFill="1" applyBorder="1" applyAlignment="1" applyProtection="1">
      <alignment horizontal="center"/>
    </xf>
    <xf numFmtId="0" fontId="0" fillId="7" borderId="14" xfId="0" applyFill="1" applyBorder="1" applyAlignment="1" applyProtection="1">
      <alignment horizontal="center"/>
    </xf>
    <xf numFmtId="0" fontId="0" fillId="7" borderId="3" xfId="0" applyFill="1" applyBorder="1" applyAlignment="1" applyProtection="1">
      <alignment horizontal="center"/>
    </xf>
    <xf numFmtId="0" fontId="1" fillId="7" borderId="200" xfId="0" applyFont="1" applyFill="1" applyBorder="1" applyProtection="1"/>
    <xf numFmtId="0" fontId="1" fillId="7" borderId="201" xfId="0" applyFont="1" applyFill="1" applyBorder="1" applyProtection="1"/>
    <xf numFmtId="0" fontId="0" fillId="7" borderId="200" xfId="0" applyFill="1" applyBorder="1" applyProtection="1"/>
    <xf numFmtId="0" fontId="0" fillId="7" borderId="201" xfId="0" applyFill="1" applyBorder="1" applyProtection="1"/>
    <xf numFmtId="176" fontId="0" fillId="7" borderId="201" xfId="0" applyNumberFormat="1" applyFill="1" applyBorder="1" applyAlignment="1" applyProtection="1">
      <alignment horizontal="left" vertical="center"/>
    </xf>
    <xf numFmtId="176" fontId="0" fillId="7" borderId="200" xfId="0" applyNumberFormat="1" applyFill="1" applyBorder="1" applyAlignment="1" applyProtection="1">
      <alignment horizontal="center" vertical="center"/>
    </xf>
    <xf numFmtId="176" fontId="0" fillId="7" borderId="201" xfId="0" applyNumberFormat="1" applyFill="1" applyBorder="1" applyAlignment="1" applyProtection="1">
      <alignment horizontal="center" vertical="center"/>
    </xf>
    <xf numFmtId="178" fontId="0" fillId="7" borderId="200" xfId="0" applyNumberFormat="1" applyFill="1" applyBorder="1" applyAlignment="1" applyProtection="1">
      <alignment horizontal="right" vertical="center"/>
    </xf>
    <xf numFmtId="178" fontId="31" fillId="7" borderId="200" xfId="0" applyNumberFormat="1" applyFont="1" applyFill="1" applyBorder="1" applyAlignment="1" applyProtection="1">
      <alignment horizontal="left" vertical="center"/>
    </xf>
    <xf numFmtId="178" fontId="0" fillId="7" borderId="200" xfId="0" applyNumberFormat="1" applyFill="1" applyBorder="1" applyAlignment="1" applyProtection="1">
      <alignment horizontal="left" vertical="center"/>
    </xf>
    <xf numFmtId="178" fontId="0" fillId="7" borderId="201" xfId="0" applyNumberFormat="1" applyFill="1" applyBorder="1" applyAlignment="1" applyProtection="1">
      <alignment horizontal="left" vertical="center"/>
    </xf>
    <xf numFmtId="0" fontId="0" fillId="7" borderId="200" xfId="0" applyFill="1" applyBorder="1" applyAlignment="1" applyProtection="1">
      <alignment vertical="center"/>
    </xf>
    <xf numFmtId="0" fontId="0" fillId="7" borderId="201" xfId="0" applyFill="1" applyBorder="1" applyAlignment="1" applyProtection="1">
      <alignment horizontal="center" vertical="center"/>
    </xf>
    <xf numFmtId="190" fontId="0" fillId="10" borderId="201" xfId="0" applyNumberFormat="1" applyFill="1" applyBorder="1" applyAlignment="1" applyProtection="1">
      <alignment horizontal="center" vertical="center"/>
      <protection locked="0"/>
    </xf>
    <xf numFmtId="190" fontId="0" fillId="7" borderId="201" xfId="0" applyNumberFormat="1" applyFill="1" applyBorder="1" applyAlignment="1" applyProtection="1">
      <alignment horizontal="center" vertical="center"/>
    </xf>
    <xf numFmtId="178" fontId="0" fillId="7" borderId="201" xfId="0" applyNumberFormat="1" applyFill="1" applyBorder="1" applyAlignment="1" applyProtection="1">
      <alignment horizontal="center" vertical="center"/>
    </xf>
    <xf numFmtId="20" fontId="0" fillId="0" borderId="201" xfId="0" applyNumberFormat="1" applyFill="1" applyBorder="1" applyProtection="1"/>
    <xf numFmtId="20" fontId="0" fillId="0" borderId="200" xfId="0" applyNumberFormat="1" applyFill="1" applyBorder="1" applyProtection="1"/>
    <xf numFmtId="14" fontId="0" fillId="7" borderId="200" xfId="0" applyNumberFormat="1" applyFill="1" applyBorder="1" applyAlignment="1" applyProtection="1">
      <alignment horizontal="center"/>
    </xf>
    <xf numFmtId="0" fontId="0" fillId="7" borderId="200" xfId="0" applyFill="1" applyBorder="1" applyAlignment="1" applyProtection="1">
      <alignment horizontal="center"/>
    </xf>
    <xf numFmtId="0" fontId="0" fillId="7" borderId="201" xfId="0" applyFill="1" applyBorder="1" applyAlignment="1" applyProtection="1">
      <alignment horizontal="center"/>
    </xf>
    <xf numFmtId="0" fontId="0" fillId="22" borderId="200" xfId="0" applyFill="1" applyBorder="1" applyAlignment="1" applyProtection="1">
      <alignment horizontal="center" vertical="center"/>
    </xf>
    <xf numFmtId="0" fontId="0" fillId="21" borderId="14" xfId="0" applyFill="1" applyBorder="1" applyAlignment="1" applyProtection="1">
      <alignment vertical="center"/>
    </xf>
    <xf numFmtId="0" fontId="0" fillId="21" borderId="14" xfId="0" applyFill="1" applyBorder="1" applyAlignment="1" applyProtection="1">
      <alignment horizontal="center"/>
    </xf>
    <xf numFmtId="0" fontId="0" fillId="21" borderId="14" xfId="0" applyFill="1" applyBorder="1" applyProtection="1"/>
    <xf numFmtId="176" fontId="0" fillId="21" borderId="3" xfId="0" applyNumberFormat="1" applyFill="1" applyBorder="1" applyProtection="1"/>
    <xf numFmtId="0" fontId="0" fillId="21" borderId="200" xfId="0" applyFill="1" applyBorder="1" applyAlignment="1" applyProtection="1">
      <alignment horizontal="center"/>
    </xf>
    <xf numFmtId="0" fontId="0" fillId="21" borderId="200" xfId="0" applyFill="1" applyBorder="1" applyProtection="1"/>
    <xf numFmtId="176" fontId="0" fillId="21" borderId="201" xfId="0" applyNumberFormat="1" applyFill="1" applyBorder="1" applyProtection="1"/>
    <xf numFmtId="0" fontId="0" fillId="0" borderId="14" xfId="0" applyFill="1" applyBorder="1" applyAlignment="1" applyProtection="1">
      <alignment vertical="center"/>
    </xf>
    <xf numFmtId="0" fontId="1" fillId="0" borderId="0" xfId="0" applyFont="1" applyAlignment="1" applyProtection="1">
      <alignment horizontal="center" vertical="center"/>
    </xf>
    <xf numFmtId="0" fontId="1" fillId="0" borderId="0" xfId="0" applyFont="1" applyBorder="1" applyAlignment="1" applyProtection="1">
      <alignment vertical="center"/>
    </xf>
    <xf numFmtId="0" fontId="1" fillId="0" borderId="5" xfId="0" applyFont="1" applyBorder="1" applyAlignment="1" applyProtection="1">
      <alignment vertical="center"/>
    </xf>
    <xf numFmtId="49" fontId="1" fillId="0" borderId="0" xfId="0" applyNumberFormat="1" applyFont="1" applyAlignment="1" applyProtection="1">
      <alignment horizontal="center" vertical="center"/>
    </xf>
    <xf numFmtId="20" fontId="1" fillId="0" borderId="0" xfId="0" applyNumberFormat="1" applyFont="1" applyAlignment="1" applyProtection="1">
      <alignment horizontal="center" vertical="center"/>
    </xf>
    <xf numFmtId="0" fontId="6" fillId="7" borderId="201" xfId="0" applyFont="1" applyFill="1" applyBorder="1" applyAlignment="1" applyProtection="1">
      <alignment horizontal="left" vertical="center" wrapText="1"/>
    </xf>
    <xf numFmtId="0" fontId="1" fillId="0" borderId="73" xfId="0" applyFont="1" applyBorder="1" applyAlignment="1" applyProtection="1">
      <alignment horizontal="center" vertical="center"/>
    </xf>
    <xf numFmtId="0" fontId="1" fillId="0" borderId="0" xfId="0" applyFont="1" applyFill="1" applyBorder="1" applyAlignment="1" applyProtection="1">
      <alignment horizontal="left" vertical="center" indent="1"/>
    </xf>
    <xf numFmtId="0" fontId="1" fillId="0" borderId="0" xfId="0" applyFont="1" applyFill="1" applyBorder="1" applyAlignment="1" applyProtection="1">
      <alignment horizontal="center" vertical="center"/>
    </xf>
    <xf numFmtId="176" fontId="1" fillId="0" borderId="0" xfId="0" applyNumberFormat="1" applyFont="1" applyFill="1" applyBorder="1" applyAlignment="1" applyProtection="1">
      <alignment horizontal="center" vertical="center"/>
    </xf>
    <xf numFmtId="179" fontId="1" fillId="0" borderId="0" xfId="0" applyNumberFormat="1" applyFont="1" applyFill="1" applyBorder="1" applyAlignment="1" applyProtection="1">
      <alignment horizontal="center" vertical="center"/>
    </xf>
    <xf numFmtId="0" fontId="0" fillId="0" borderId="200" xfId="0" applyBorder="1" applyAlignment="1">
      <alignment horizontal="right"/>
    </xf>
    <xf numFmtId="0" fontId="22" fillId="0" borderId="200" xfId="0" applyFont="1" applyBorder="1" applyAlignment="1">
      <alignment horizontal="right"/>
    </xf>
    <xf numFmtId="0" fontId="0" fillId="15" borderId="201" xfId="0" applyFill="1" applyBorder="1"/>
    <xf numFmtId="0" fontId="0" fillId="14" borderId="200" xfId="0" applyFill="1" applyBorder="1" applyAlignment="1">
      <alignment horizontal="center"/>
    </xf>
    <xf numFmtId="0" fontId="0" fillId="14" borderId="200" xfId="0" applyFill="1" applyBorder="1"/>
    <xf numFmtId="20" fontId="0" fillId="14" borderId="200" xfId="0" applyNumberFormat="1" applyFill="1" applyBorder="1"/>
    <xf numFmtId="0" fontId="0" fillId="14" borderId="201" xfId="0" applyFill="1" applyBorder="1" applyAlignment="1">
      <alignment horizontal="center"/>
    </xf>
    <xf numFmtId="20" fontId="0" fillId="0" borderId="200" xfId="0" applyNumberFormat="1" applyBorder="1"/>
    <xf numFmtId="0" fontId="0" fillId="0" borderId="201" xfId="0" applyBorder="1" applyAlignment="1">
      <alignment horizontal="center"/>
    </xf>
    <xf numFmtId="0" fontId="16" fillId="0" borderId="200" xfId="0" applyFont="1" applyBorder="1" applyAlignment="1" applyProtection="1">
      <alignment horizontal="left" vertical="center"/>
      <protection locked="0"/>
    </xf>
    <xf numFmtId="0" fontId="16" fillId="0" borderId="201" xfId="0" applyFont="1" applyBorder="1" applyAlignment="1" applyProtection="1">
      <alignment horizontal="left" vertical="center"/>
      <protection locked="0"/>
    </xf>
    <xf numFmtId="196" fontId="5" fillId="0" borderId="201" xfId="0" applyNumberFormat="1" applyFont="1" applyBorder="1" applyProtection="1"/>
    <xf numFmtId="0" fontId="5" fillId="0" borderId="201" xfId="0" applyFont="1" applyBorder="1" applyProtection="1"/>
    <xf numFmtId="0" fontId="0" fillId="0" borderId="200" xfId="0" applyBorder="1" applyProtection="1"/>
    <xf numFmtId="0" fontId="0" fillId="0" borderId="201" xfId="0" applyFill="1" applyBorder="1" applyAlignment="1">
      <alignment horizontal="center"/>
    </xf>
    <xf numFmtId="0" fontId="0" fillId="6" borderId="0" xfId="0" applyFill="1" applyAlignment="1">
      <alignment horizontal="center"/>
    </xf>
    <xf numFmtId="0" fontId="0" fillId="0" borderId="200" xfId="0" applyBorder="1" applyAlignment="1">
      <alignment horizontal="center"/>
    </xf>
    <xf numFmtId="0" fontId="0" fillId="6" borderId="0" xfId="0" applyFill="1" applyBorder="1" applyAlignment="1">
      <alignment horizontal="center"/>
    </xf>
    <xf numFmtId="0" fontId="0" fillId="5" borderId="0" xfId="0" applyFill="1" applyAlignment="1">
      <alignment horizontal="center"/>
    </xf>
    <xf numFmtId="0" fontId="0" fillId="0" borderId="0" xfId="0" applyAlignment="1">
      <alignment horizontal="center"/>
    </xf>
    <xf numFmtId="0" fontId="5" fillId="0" borderId="0" xfId="0" applyFont="1" applyAlignment="1">
      <alignment horizontal="center"/>
    </xf>
    <xf numFmtId="0" fontId="0" fillId="6" borderId="0" xfId="0" applyFill="1" applyAlignment="1">
      <alignment horizontal="center" vertical="center"/>
    </xf>
    <xf numFmtId="0" fontId="0" fillId="6" borderId="0" xfId="0" applyFill="1" applyBorder="1" applyAlignment="1">
      <alignment horizontal="center" vertical="center"/>
    </xf>
    <xf numFmtId="0" fontId="4" fillId="0" borderId="0" xfId="0" applyFont="1" applyAlignment="1">
      <alignment horizontal="center"/>
    </xf>
    <xf numFmtId="0" fontId="0" fillId="0" borderId="0" xfId="0" applyAlignment="1">
      <alignment horizontal="center" vertical="center"/>
    </xf>
    <xf numFmtId="0" fontId="0" fillId="0" borderId="0" xfId="0" applyBorder="1" applyAlignment="1">
      <alignment horizontal="center" vertical="center"/>
    </xf>
    <xf numFmtId="0" fontId="0" fillId="7" borderId="6" xfId="0" applyFill="1" applyBorder="1" applyAlignment="1">
      <alignment horizontal="center" vertical="center"/>
    </xf>
    <xf numFmtId="0" fontId="0" fillId="7" borderId="5" xfId="0" applyFill="1" applyBorder="1" applyAlignment="1">
      <alignment horizontal="center" vertical="center"/>
    </xf>
    <xf numFmtId="0" fontId="14" fillId="7" borderId="80" xfId="0" applyFont="1" applyFill="1" applyBorder="1" applyAlignment="1" applyProtection="1">
      <alignment horizontal="center" vertical="center"/>
    </xf>
    <xf numFmtId="0" fontId="14" fillId="7" borderId="84" xfId="0" applyFont="1" applyFill="1" applyBorder="1" applyAlignment="1" applyProtection="1">
      <alignment horizontal="center" vertical="center"/>
    </xf>
    <xf numFmtId="0" fontId="14" fillId="7" borderId="73" xfId="0" applyFont="1" applyFill="1" applyBorder="1" applyAlignment="1" applyProtection="1">
      <alignment horizontal="center" vertical="center"/>
    </xf>
    <xf numFmtId="0" fontId="14" fillId="7" borderId="147" xfId="0" applyFont="1" applyFill="1" applyBorder="1" applyAlignment="1" applyProtection="1">
      <alignment horizontal="center" vertical="center"/>
    </xf>
    <xf numFmtId="0" fontId="14" fillId="7" borderId="79" xfId="0" applyFont="1" applyFill="1" applyBorder="1" applyAlignment="1" applyProtection="1">
      <alignment horizontal="center" vertical="center"/>
    </xf>
    <xf numFmtId="0" fontId="14" fillId="7" borderId="148" xfId="0" applyFont="1" applyFill="1" applyBorder="1" applyAlignment="1" applyProtection="1">
      <alignment horizontal="center" vertical="center"/>
    </xf>
    <xf numFmtId="0" fontId="14" fillId="7" borderId="74" xfId="0" applyFont="1" applyFill="1" applyBorder="1" applyAlignment="1" applyProtection="1">
      <alignment horizontal="center" vertical="center"/>
    </xf>
    <xf numFmtId="0" fontId="14" fillId="7" borderId="86" xfId="0" applyFont="1" applyFill="1" applyBorder="1" applyAlignment="1" applyProtection="1">
      <alignment horizontal="center" vertical="center"/>
    </xf>
    <xf numFmtId="0" fontId="14" fillId="7" borderId="87" xfId="0" applyFont="1" applyFill="1" applyBorder="1" applyAlignment="1" applyProtection="1">
      <alignment horizontal="center" vertical="center"/>
    </xf>
    <xf numFmtId="0" fontId="17" fillId="7" borderId="73" xfId="0" applyFont="1" applyFill="1" applyBorder="1" applyAlignment="1" applyProtection="1">
      <alignment horizontal="center" vertical="center"/>
    </xf>
    <xf numFmtId="0" fontId="17" fillId="7" borderId="190" xfId="0" applyFont="1" applyFill="1" applyBorder="1" applyAlignment="1" applyProtection="1">
      <alignment horizontal="center" vertical="center"/>
    </xf>
    <xf numFmtId="0" fontId="16" fillId="0" borderId="130" xfId="0" applyFont="1" applyBorder="1" applyAlignment="1" applyProtection="1">
      <alignment vertical="center"/>
      <protection locked="0"/>
    </xf>
    <xf numFmtId="0" fontId="16" fillId="0" borderId="0" xfId="0" applyFont="1" applyBorder="1" applyAlignment="1" applyProtection="1">
      <alignment vertical="center"/>
      <protection locked="0"/>
    </xf>
    <xf numFmtId="0" fontId="1" fillId="14" borderId="2" xfId="0" applyNumberFormat="1" applyFont="1" applyFill="1" applyBorder="1" applyAlignment="1" applyProtection="1">
      <alignment horizontal="center" vertical="center"/>
    </xf>
    <xf numFmtId="0" fontId="0" fillId="0" borderId="200" xfId="0" applyBorder="1" applyAlignment="1">
      <alignment horizontal="center"/>
    </xf>
    <xf numFmtId="0" fontId="0" fillId="6" borderId="0" xfId="0" applyFill="1" applyAlignment="1">
      <alignment horizontal="center"/>
    </xf>
    <xf numFmtId="0" fontId="3" fillId="5" borderId="0" xfId="0" applyFont="1" applyFill="1" applyBorder="1" applyAlignment="1">
      <alignment horizontal="center"/>
    </xf>
    <xf numFmtId="0" fontId="0" fillId="5" borderId="0" xfId="0" applyFill="1" applyAlignment="1">
      <alignment horizontal="center"/>
    </xf>
    <xf numFmtId="0" fontId="0" fillId="5" borderId="0" xfId="0" applyFill="1" applyBorder="1" applyAlignment="1">
      <alignment horizontal="center" vertical="center"/>
    </xf>
    <xf numFmtId="0" fontId="4" fillId="5" borderId="0" xfId="0" applyFont="1" applyFill="1" applyBorder="1" applyAlignment="1">
      <alignment horizontal="center" vertical="center"/>
    </xf>
    <xf numFmtId="0" fontId="0" fillId="0" borderId="0" xfId="0" applyAlignment="1">
      <alignment horizontal="center"/>
    </xf>
    <xf numFmtId="0" fontId="3" fillId="5" borderId="0" xfId="0" applyFont="1" applyFill="1" applyAlignment="1">
      <alignment horizontal="center"/>
    </xf>
    <xf numFmtId="0" fontId="0" fillId="6" borderId="0" xfId="0" applyFill="1" applyBorder="1" applyAlignment="1">
      <alignment horizontal="center"/>
    </xf>
    <xf numFmtId="0" fontId="0" fillId="6" borderId="0" xfId="0" applyFill="1" applyAlignment="1">
      <alignment horizontal="center" vertical="center"/>
    </xf>
    <xf numFmtId="0" fontId="0" fillId="5" borderId="0" xfId="0" applyFill="1" applyAlignment="1">
      <alignment horizontal="center" vertical="center"/>
    </xf>
    <xf numFmtId="0" fontId="4" fillId="5" borderId="0" xfId="0" applyFont="1" applyFill="1" applyAlignment="1">
      <alignment horizontal="center" vertical="center"/>
    </xf>
    <xf numFmtId="0" fontId="0" fillId="6" borderId="0" xfId="0" applyFill="1" applyBorder="1" applyAlignment="1">
      <alignment horizontal="center" vertical="center"/>
    </xf>
    <xf numFmtId="20" fontId="0" fillId="0" borderId="0" xfId="0" applyNumberFormat="1" applyAlignment="1">
      <alignment horizontal="center"/>
    </xf>
    <xf numFmtId="0" fontId="0" fillId="17" borderId="1" xfId="0" applyFill="1" applyBorder="1" applyAlignment="1">
      <alignment horizontal="center"/>
    </xf>
    <xf numFmtId="0" fontId="0" fillId="17" borderId="2" xfId="0" applyFill="1" applyBorder="1" applyAlignment="1">
      <alignment horizontal="center"/>
    </xf>
    <xf numFmtId="0" fontId="5" fillId="0" borderId="0" xfId="0" applyFont="1" applyAlignment="1">
      <alignment horizontal="center"/>
    </xf>
    <xf numFmtId="0" fontId="0" fillId="0" borderId="0" xfId="0" applyAlignment="1">
      <alignment horizontal="center" vertical="center"/>
    </xf>
    <xf numFmtId="0" fontId="0" fillId="0" borderId="13" xfId="0" applyBorder="1" applyAlignment="1">
      <alignment horizontal="center" vertical="center"/>
    </xf>
    <xf numFmtId="0" fontId="4" fillId="0" borderId="0" xfId="0" applyFont="1" applyAlignment="1">
      <alignment horizontal="center"/>
    </xf>
    <xf numFmtId="0" fontId="23" fillId="0" borderId="0" xfId="0" applyFont="1" applyBorder="1" applyAlignment="1">
      <alignment horizontal="center" vertical="center"/>
    </xf>
    <xf numFmtId="0" fontId="0" fillId="0" borderId="0" xfId="0" applyBorder="1" applyAlignment="1">
      <alignment horizontal="center" vertical="center"/>
    </xf>
    <xf numFmtId="0" fontId="0" fillId="12" borderId="138" xfId="0" applyFill="1" applyBorder="1" applyAlignment="1">
      <alignment horizontal="center" vertical="center"/>
    </xf>
    <xf numFmtId="0" fontId="0" fillId="12" borderId="137" xfId="0" applyFill="1" applyBorder="1" applyAlignment="1">
      <alignment horizontal="center" vertical="center"/>
    </xf>
    <xf numFmtId="0" fontId="0" fillId="12" borderId="198" xfId="0" applyFill="1" applyBorder="1" applyAlignment="1">
      <alignment horizontal="center" vertical="center"/>
    </xf>
    <xf numFmtId="0" fontId="0" fillId="12" borderId="199" xfId="0" applyFill="1" applyBorder="1" applyAlignment="1">
      <alignment horizontal="center" vertical="center"/>
    </xf>
    <xf numFmtId="0" fontId="4" fillId="0" borderId="0" xfId="0" applyFont="1" applyAlignment="1">
      <alignment horizontal="center" vertical="center"/>
    </xf>
    <xf numFmtId="0" fontId="1" fillId="14" borderId="0" xfId="0" applyFont="1" applyFill="1" applyAlignment="1">
      <alignment horizontal="center" vertical="center"/>
    </xf>
    <xf numFmtId="0" fontId="0" fillId="12" borderId="139" xfId="0" applyFill="1" applyBorder="1" applyAlignment="1">
      <alignment horizontal="center" vertical="center"/>
    </xf>
    <xf numFmtId="0" fontId="0" fillId="12" borderId="197" xfId="0" applyFill="1" applyBorder="1" applyAlignment="1">
      <alignment horizontal="center" vertical="center"/>
    </xf>
    <xf numFmtId="0" fontId="4" fillId="12" borderId="138" xfId="0" applyFont="1" applyFill="1" applyBorder="1" applyAlignment="1">
      <alignment horizontal="center"/>
    </xf>
    <xf numFmtId="0" fontId="25" fillId="0" borderId="0" xfId="0" applyFont="1" applyAlignment="1">
      <alignment horizontal="left" vertical="center"/>
    </xf>
    <xf numFmtId="0" fontId="5" fillId="0" borderId="13" xfId="0" applyFont="1" applyBorder="1" applyAlignment="1">
      <alignment horizontal="center" vertical="center"/>
    </xf>
    <xf numFmtId="0" fontId="1" fillId="21" borderId="0" xfId="0" applyFont="1" applyFill="1" applyBorder="1" applyAlignment="1" applyProtection="1">
      <alignment horizontal="center"/>
    </xf>
    <xf numFmtId="0" fontId="0" fillId="10" borderId="13" xfId="0" applyFill="1" applyBorder="1" applyAlignment="1" applyProtection="1">
      <alignment horizontal="center" vertical="center"/>
    </xf>
    <xf numFmtId="178" fontId="0" fillId="7" borderId="9" xfId="0" applyNumberFormat="1" applyFill="1" applyBorder="1" applyAlignment="1" applyProtection="1">
      <alignment horizontal="center" vertical="center"/>
    </xf>
    <xf numFmtId="178" fontId="0" fillId="7" borderId="200" xfId="0" applyNumberFormat="1" applyFill="1" applyBorder="1" applyAlignment="1" applyProtection="1">
      <alignment horizontal="center" vertical="center"/>
    </xf>
    <xf numFmtId="176" fontId="1" fillId="9" borderId="1" xfId="0" applyNumberFormat="1" applyFont="1" applyFill="1" applyBorder="1" applyAlignment="1" applyProtection="1">
      <alignment horizontal="left"/>
      <protection locked="0"/>
    </xf>
    <xf numFmtId="176" fontId="0" fillId="9" borderId="4" xfId="0" applyNumberFormat="1" applyFill="1" applyBorder="1" applyAlignment="1" applyProtection="1">
      <alignment horizontal="left"/>
      <protection locked="0"/>
    </xf>
    <xf numFmtId="176" fontId="0" fillId="9" borderId="2" xfId="0" applyNumberFormat="1" applyFill="1" applyBorder="1" applyAlignment="1" applyProtection="1">
      <alignment horizontal="left"/>
      <protection locked="0"/>
    </xf>
    <xf numFmtId="176" fontId="0" fillId="10" borderId="16" xfId="0" applyNumberFormat="1" applyFill="1" applyBorder="1" applyAlignment="1" applyProtection="1">
      <alignment horizontal="center" vertical="center"/>
    </xf>
    <xf numFmtId="176" fontId="0" fillId="10" borderId="26" xfId="0" applyNumberFormat="1" applyFill="1" applyBorder="1" applyAlignment="1" applyProtection="1">
      <alignment horizontal="center" vertical="center"/>
    </xf>
    <xf numFmtId="176" fontId="0" fillId="10" borderId="15" xfId="0" applyNumberFormat="1" applyFill="1" applyBorder="1" applyAlignment="1" applyProtection="1">
      <alignment horizontal="center" vertical="center"/>
    </xf>
    <xf numFmtId="176" fontId="0" fillId="10" borderId="20" xfId="0" applyNumberFormat="1" applyFill="1" applyBorder="1" applyAlignment="1" applyProtection="1">
      <alignment horizontal="center" vertical="center"/>
    </xf>
    <xf numFmtId="0" fontId="1" fillId="7" borderId="1" xfId="0" applyFont="1" applyFill="1" applyBorder="1" applyAlignment="1" applyProtection="1">
      <alignment horizontal="center" vertical="center"/>
    </xf>
    <xf numFmtId="0" fontId="1" fillId="7" borderId="4" xfId="0" applyFont="1" applyFill="1" applyBorder="1" applyAlignment="1" applyProtection="1">
      <alignment horizontal="center" vertical="center"/>
    </xf>
    <xf numFmtId="0" fontId="1" fillId="7" borderId="2" xfId="0" applyFont="1" applyFill="1" applyBorder="1" applyAlignment="1" applyProtection="1">
      <alignment horizontal="center" vertical="center"/>
    </xf>
    <xf numFmtId="0" fontId="1" fillId="7" borderId="11" xfId="0" applyFont="1" applyFill="1" applyBorder="1" applyAlignment="1">
      <alignment horizontal="center" vertical="center"/>
    </xf>
    <xf numFmtId="0" fontId="1" fillId="7" borderId="14" xfId="0" applyFont="1" applyFill="1" applyBorder="1" applyAlignment="1">
      <alignment horizontal="center" vertical="center"/>
    </xf>
    <xf numFmtId="0" fontId="1" fillId="7" borderId="9" xfId="0" applyFont="1" applyFill="1" applyBorder="1" applyAlignment="1">
      <alignment horizontal="center" vertical="center"/>
    </xf>
    <xf numFmtId="0" fontId="1" fillId="7" borderId="200" xfId="0" applyFont="1" applyFill="1" applyBorder="1" applyAlignment="1">
      <alignment horizontal="center" vertical="center"/>
    </xf>
    <xf numFmtId="176" fontId="33" fillId="10" borderId="11" xfId="0" applyNumberFormat="1" applyFont="1" applyFill="1" applyBorder="1" applyAlignment="1" applyProtection="1">
      <alignment horizontal="center" vertical="center"/>
      <protection locked="0"/>
    </xf>
    <xf numFmtId="176" fontId="0" fillId="0" borderId="14" xfId="0" applyNumberFormat="1" applyBorder="1" applyAlignment="1" applyProtection="1">
      <alignment horizontal="center" vertical="center"/>
      <protection locked="0"/>
    </xf>
    <xf numFmtId="176" fontId="0" fillId="0" borderId="3" xfId="0" applyNumberFormat="1" applyBorder="1" applyAlignment="1" applyProtection="1">
      <alignment horizontal="center" vertical="center"/>
      <protection locked="0"/>
    </xf>
    <xf numFmtId="176" fontId="0" fillId="0" borderId="6" xfId="0" applyNumberFormat="1" applyBorder="1" applyAlignment="1" applyProtection="1">
      <alignment horizontal="center" vertical="center"/>
      <protection locked="0"/>
    </xf>
    <xf numFmtId="176" fontId="0" fillId="0" borderId="0" xfId="0" applyNumberFormat="1" applyAlignment="1" applyProtection="1">
      <alignment horizontal="center" vertical="center"/>
      <protection locked="0"/>
    </xf>
    <xf numFmtId="176" fontId="0" fillId="0" borderId="5" xfId="0" applyNumberFormat="1" applyBorder="1" applyAlignment="1" applyProtection="1">
      <alignment horizontal="center" vertical="center"/>
      <protection locked="0"/>
    </xf>
    <xf numFmtId="0" fontId="1" fillId="7" borderId="11" xfId="0" applyFont="1" applyFill="1" applyBorder="1" applyAlignment="1" applyProtection="1">
      <alignment vertical="center"/>
    </xf>
    <xf numFmtId="0" fontId="1" fillId="7" borderId="3" xfId="0" applyFont="1" applyFill="1" applyBorder="1" applyAlignment="1" applyProtection="1">
      <alignment vertical="center"/>
    </xf>
    <xf numFmtId="0" fontId="0" fillId="0" borderId="9" xfId="0" applyBorder="1" applyAlignment="1" applyProtection="1">
      <alignment vertical="center"/>
    </xf>
    <xf numFmtId="0" fontId="0" fillId="0" borderId="201" xfId="0" applyBorder="1" applyAlignment="1" applyProtection="1">
      <alignment vertical="center"/>
    </xf>
    <xf numFmtId="176" fontId="0" fillId="10" borderId="11" xfId="0" applyNumberFormat="1" applyFill="1" applyBorder="1" applyAlignment="1" applyProtection="1">
      <alignment horizontal="center" vertical="center"/>
      <protection locked="0"/>
    </xf>
    <xf numFmtId="176" fontId="0" fillId="10" borderId="14" xfId="0" applyNumberFormat="1" applyFill="1" applyBorder="1" applyAlignment="1" applyProtection="1">
      <alignment horizontal="center" vertical="center"/>
      <protection locked="0"/>
    </xf>
    <xf numFmtId="176" fontId="0" fillId="10" borderId="3" xfId="0" applyNumberFormat="1" applyFill="1" applyBorder="1" applyAlignment="1" applyProtection="1">
      <alignment horizontal="center" vertical="center"/>
      <protection locked="0"/>
    </xf>
    <xf numFmtId="176" fontId="0" fillId="10" borderId="9" xfId="0" applyNumberFormat="1" applyFill="1" applyBorder="1" applyAlignment="1" applyProtection="1">
      <alignment horizontal="center" vertical="center"/>
      <protection locked="0"/>
    </xf>
    <xf numFmtId="176" fontId="0" fillId="10" borderId="200" xfId="0" applyNumberFormat="1" applyFill="1" applyBorder="1" applyAlignment="1" applyProtection="1">
      <alignment horizontal="center" vertical="center"/>
      <protection locked="0"/>
    </xf>
    <xf numFmtId="176" fontId="0" fillId="10" borderId="201" xfId="0" applyNumberFormat="1" applyFill="1" applyBorder="1" applyAlignment="1" applyProtection="1">
      <alignment horizontal="center" vertical="center"/>
      <protection locked="0"/>
    </xf>
    <xf numFmtId="176" fontId="33" fillId="22" borderId="6" xfId="0" applyNumberFormat="1" applyFont="1" applyFill="1" applyBorder="1" applyAlignment="1" applyProtection="1">
      <alignment horizontal="center" vertical="center"/>
      <protection locked="0"/>
    </xf>
    <xf numFmtId="176" fontId="0" fillId="22" borderId="0" xfId="0" applyNumberFormat="1" applyFill="1" applyAlignment="1" applyProtection="1">
      <alignment horizontal="center" vertical="center"/>
      <protection locked="0"/>
    </xf>
    <xf numFmtId="176" fontId="0" fillId="22" borderId="5" xfId="0" applyNumberFormat="1" applyFill="1" applyBorder="1" applyAlignment="1" applyProtection="1">
      <alignment horizontal="center" vertical="center"/>
      <protection locked="0"/>
    </xf>
    <xf numFmtId="176" fontId="0" fillId="22" borderId="6" xfId="0" applyNumberFormat="1" applyFill="1" applyBorder="1" applyAlignment="1" applyProtection="1">
      <alignment horizontal="center" vertical="center"/>
      <protection locked="0"/>
    </xf>
    <xf numFmtId="176" fontId="0" fillId="22" borderId="9" xfId="0" applyNumberFormat="1" applyFill="1" applyBorder="1" applyAlignment="1" applyProtection="1">
      <alignment horizontal="center" vertical="center"/>
      <protection locked="0"/>
    </xf>
    <xf numFmtId="176" fontId="0" fillId="22" borderId="200" xfId="0" applyNumberFormat="1" applyFill="1" applyBorder="1" applyAlignment="1" applyProtection="1">
      <alignment horizontal="center" vertical="center"/>
      <protection locked="0"/>
    </xf>
    <xf numFmtId="176" fontId="0" fillId="22" borderId="201" xfId="0" applyNumberFormat="1" applyFill="1" applyBorder="1" applyAlignment="1" applyProtection="1">
      <alignment horizontal="center" vertical="center"/>
      <protection locked="0"/>
    </xf>
    <xf numFmtId="176" fontId="1" fillId="7" borderId="1" xfId="0" applyNumberFormat="1" applyFont="1" applyFill="1" applyBorder="1" applyAlignment="1" applyProtection="1">
      <alignment horizontal="center" vertical="center"/>
    </xf>
    <xf numFmtId="176" fontId="1" fillId="7" borderId="4" xfId="0" applyNumberFormat="1" applyFont="1" applyFill="1" applyBorder="1" applyAlignment="1" applyProtection="1">
      <alignment horizontal="center" vertical="center"/>
    </xf>
    <xf numFmtId="176" fontId="1" fillId="7" borderId="2" xfId="0" applyNumberFormat="1" applyFont="1" applyFill="1" applyBorder="1" applyAlignment="1" applyProtection="1">
      <alignment horizontal="center" vertical="center"/>
    </xf>
    <xf numFmtId="0" fontId="0" fillId="7" borderId="1" xfId="0" applyFill="1" applyBorder="1" applyAlignment="1" applyProtection="1">
      <alignment horizontal="left" vertical="center"/>
    </xf>
    <xf numFmtId="0" fontId="0" fillId="7" borderId="4" xfId="0" applyFill="1" applyBorder="1" applyAlignment="1" applyProtection="1">
      <alignment horizontal="left" vertical="center"/>
    </xf>
    <xf numFmtId="0" fontId="0" fillId="7" borderId="2" xfId="0" applyFill="1" applyBorder="1" applyAlignment="1" applyProtection="1">
      <alignment horizontal="left" vertical="center"/>
    </xf>
    <xf numFmtId="0" fontId="37" fillId="10" borderId="11" xfId="0" applyFont="1" applyFill="1" applyBorder="1" applyAlignment="1" applyProtection="1">
      <alignment vertical="center" wrapText="1"/>
      <protection locked="0"/>
    </xf>
    <xf numFmtId="0" fontId="37" fillId="0" borderId="14" xfId="0" applyFont="1" applyBorder="1" applyAlignment="1" applyProtection="1">
      <alignment vertical="center" wrapText="1"/>
      <protection locked="0"/>
    </xf>
    <xf numFmtId="0" fontId="37" fillId="0" borderId="3" xfId="0" applyFont="1" applyBorder="1" applyAlignment="1" applyProtection="1">
      <alignment vertical="center" wrapText="1"/>
      <protection locked="0"/>
    </xf>
    <xf numFmtId="0" fontId="37" fillId="0" borderId="6" xfId="0" applyFont="1" applyBorder="1" applyAlignment="1" applyProtection="1">
      <alignment vertical="center" wrapText="1"/>
      <protection locked="0"/>
    </xf>
    <xf numFmtId="0" fontId="37" fillId="0" borderId="0" xfId="0" applyFont="1" applyAlignment="1" applyProtection="1">
      <alignment vertical="center" wrapText="1"/>
      <protection locked="0"/>
    </xf>
    <xf numFmtId="0" fontId="37" fillId="0" borderId="5" xfId="0" applyFont="1" applyBorder="1" applyAlignment="1" applyProtection="1">
      <alignment vertical="center" wrapText="1"/>
      <protection locked="0"/>
    </xf>
    <xf numFmtId="0" fontId="37" fillId="0" borderId="9" xfId="0" applyFont="1" applyBorder="1" applyAlignment="1" applyProtection="1">
      <alignment vertical="center" wrapText="1"/>
      <protection locked="0"/>
    </xf>
    <xf numFmtId="0" fontId="37" fillId="0" borderId="200" xfId="0" applyFont="1" applyBorder="1" applyAlignment="1" applyProtection="1">
      <alignment vertical="center" wrapText="1"/>
      <protection locked="0"/>
    </xf>
    <xf numFmtId="0" fontId="37" fillId="0" borderId="201" xfId="0" applyFont="1" applyBorder="1" applyAlignment="1" applyProtection="1">
      <alignment vertical="center" wrapText="1"/>
      <protection locked="0"/>
    </xf>
    <xf numFmtId="0" fontId="1" fillId="7" borderId="1" xfId="0" applyFont="1" applyFill="1" applyBorder="1" applyAlignment="1" applyProtection="1">
      <alignment horizontal="left" vertical="center"/>
    </xf>
    <xf numFmtId="0" fontId="1" fillId="7" borderId="4" xfId="0" applyFont="1" applyFill="1" applyBorder="1" applyAlignment="1" applyProtection="1">
      <alignment horizontal="left" vertical="center"/>
    </xf>
    <xf numFmtId="0" fontId="1" fillId="7" borderId="2" xfId="0" applyFont="1" applyFill="1" applyBorder="1" applyAlignment="1" applyProtection="1">
      <alignment horizontal="left" vertical="center"/>
    </xf>
    <xf numFmtId="0" fontId="0" fillId="7" borderId="11" xfId="0" applyFill="1" applyBorder="1" applyAlignment="1">
      <alignment horizontal="center" vertical="center"/>
    </xf>
    <xf numFmtId="0" fontId="0" fillId="7" borderId="3" xfId="0" applyFill="1" applyBorder="1" applyAlignment="1">
      <alignment horizontal="center" vertical="center"/>
    </xf>
    <xf numFmtId="0" fontId="0" fillId="7" borderId="6" xfId="0" applyFill="1" applyBorder="1" applyAlignment="1">
      <alignment horizontal="center" vertical="center"/>
    </xf>
    <xf numFmtId="0" fontId="0" fillId="7" borderId="5" xfId="0" applyFill="1" applyBorder="1" applyAlignment="1">
      <alignment horizontal="center" vertical="center"/>
    </xf>
    <xf numFmtId="0" fontId="0" fillId="7" borderId="9" xfId="0" applyFill="1" applyBorder="1" applyAlignment="1">
      <alignment horizontal="center" vertical="center"/>
    </xf>
    <xf numFmtId="0" fontId="0" fillId="7" borderId="201" xfId="0" applyFill="1" applyBorder="1" applyAlignment="1">
      <alignment horizontal="center" vertical="center"/>
    </xf>
    <xf numFmtId="0" fontId="0" fillId="7" borderId="14" xfId="0" applyFill="1" applyBorder="1" applyAlignment="1">
      <alignment horizontal="center" vertical="center"/>
    </xf>
    <xf numFmtId="0" fontId="0" fillId="7" borderId="200" xfId="0" applyFill="1" applyBorder="1" applyAlignment="1">
      <alignment horizontal="center" vertical="center"/>
    </xf>
    <xf numFmtId="20" fontId="1" fillId="9" borderId="9" xfId="0" applyNumberFormat="1" applyFont="1" applyFill="1" applyBorder="1" applyAlignment="1" applyProtection="1">
      <alignment horizontal="center" vertical="center"/>
      <protection locked="0"/>
    </xf>
    <xf numFmtId="20" fontId="0" fillId="9" borderId="201" xfId="0" applyNumberFormat="1" applyFill="1" applyBorder="1" applyAlignment="1" applyProtection="1">
      <alignment horizontal="center" vertical="center"/>
      <protection locked="0"/>
    </xf>
    <xf numFmtId="20" fontId="0" fillId="7" borderId="1" xfId="0" applyNumberFormat="1" applyFill="1" applyBorder="1" applyAlignment="1" applyProtection="1">
      <alignment horizontal="center" vertical="center"/>
    </xf>
    <xf numFmtId="20" fontId="0" fillId="7" borderId="2" xfId="0" applyNumberFormat="1" applyFill="1" applyBorder="1" applyAlignment="1" applyProtection="1">
      <alignment horizontal="center" vertical="center"/>
    </xf>
    <xf numFmtId="0" fontId="1" fillId="7" borderId="6" xfId="0" applyFont="1" applyFill="1" applyBorder="1" applyAlignment="1">
      <alignment horizontal="center" vertical="center"/>
    </xf>
    <xf numFmtId="0" fontId="1" fillId="7" borderId="0" xfId="0" applyFont="1" applyFill="1" applyBorder="1" applyAlignment="1">
      <alignment horizontal="center" vertical="center"/>
    </xf>
    <xf numFmtId="0" fontId="0" fillId="0" borderId="20" xfId="0" applyBorder="1" applyAlignment="1">
      <alignment horizontal="center" vertical="center"/>
    </xf>
    <xf numFmtId="0" fontId="0" fillId="0" borderId="26" xfId="0" applyBorder="1" applyAlignment="1">
      <alignment horizontal="center" vertical="center"/>
    </xf>
    <xf numFmtId="176" fontId="0" fillId="10" borderId="3" xfId="0" applyNumberFormat="1" applyFill="1" applyBorder="1" applyAlignment="1" applyProtection="1">
      <alignment horizontal="center" vertical="center"/>
    </xf>
    <xf numFmtId="176" fontId="0" fillId="10" borderId="201" xfId="0" applyNumberFormat="1" applyFill="1" applyBorder="1" applyAlignment="1" applyProtection="1">
      <alignment horizontal="center" vertical="center"/>
    </xf>
    <xf numFmtId="176" fontId="17" fillId="7" borderId="189" xfId="0" applyNumberFormat="1" applyFont="1" applyFill="1" applyBorder="1" applyAlignment="1" applyProtection="1">
      <alignment horizontal="center" vertical="center"/>
    </xf>
    <xf numFmtId="0" fontId="0" fillId="0" borderId="185" xfId="0" applyBorder="1" applyAlignment="1" applyProtection="1">
      <alignment horizontal="center" vertical="center"/>
    </xf>
    <xf numFmtId="0" fontId="17" fillId="7" borderId="80" xfId="0" applyFont="1" applyFill="1" applyBorder="1" applyAlignment="1" applyProtection="1">
      <alignment horizontal="center" vertical="top"/>
    </xf>
    <xf numFmtId="0" fontId="17" fillId="7" borderId="70" xfId="0" applyFont="1" applyFill="1" applyBorder="1" applyAlignment="1" applyProtection="1">
      <alignment horizontal="center" vertical="top"/>
    </xf>
    <xf numFmtId="0" fontId="17" fillId="7" borderId="192" xfId="0" applyFont="1" applyFill="1" applyBorder="1" applyAlignment="1" applyProtection="1">
      <alignment horizontal="center" vertical="top"/>
    </xf>
    <xf numFmtId="0" fontId="17" fillId="7" borderId="84" xfId="0" applyFont="1" applyFill="1" applyBorder="1" applyAlignment="1" applyProtection="1">
      <alignment horizontal="center" vertical="center"/>
    </xf>
    <xf numFmtId="0" fontId="17" fillId="7" borderId="73" xfId="0" applyFont="1" applyFill="1" applyBorder="1" applyAlignment="1" applyProtection="1">
      <alignment horizontal="center" vertical="center"/>
    </xf>
    <xf numFmtId="0" fontId="17" fillId="7" borderId="190" xfId="0" applyFont="1" applyFill="1" applyBorder="1" applyAlignment="1" applyProtection="1">
      <alignment horizontal="center" vertical="center"/>
    </xf>
    <xf numFmtId="176" fontId="17" fillId="7" borderId="191" xfId="0" applyNumberFormat="1" applyFont="1" applyFill="1" applyBorder="1" applyAlignment="1" applyProtection="1">
      <alignment horizontal="center" vertical="top"/>
    </xf>
    <xf numFmtId="176" fontId="17" fillId="7" borderId="79" xfId="0" applyNumberFormat="1" applyFont="1" applyFill="1" applyBorder="1" applyAlignment="1" applyProtection="1">
      <alignment horizontal="center" vertical="top"/>
    </xf>
    <xf numFmtId="0" fontId="17" fillId="7" borderId="189" xfId="0" applyFont="1" applyFill="1" applyBorder="1" applyAlignment="1" applyProtection="1">
      <alignment horizontal="center" vertical="center"/>
    </xf>
    <xf numFmtId="0" fontId="17" fillId="7" borderId="87" xfId="0" applyFont="1" applyFill="1" applyBorder="1" applyAlignment="1" applyProtection="1">
      <alignment horizontal="center" vertical="center"/>
    </xf>
    <xf numFmtId="1" fontId="32" fillId="0" borderId="84" xfId="0" applyNumberFormat="1" applyFont="1" applyFill="1" applyBorder="1" applyAlignment="1" applyProtection="1">
      <alignment horizontal="center"/>
    </xf>
    <xf numFmtId="1" fontId="32" fillId="0" borderId="73" xfId="0" applyNumberFormat="1" applyFont="1" applyFill="1" applyBorder="1" applyAlignment="1" applyProtection="1">
      <alignment horizontal="center"/>
    </xf>
    <xf numFmtId="1" fontId="32" fillId="0" borderId="190" xfId="0" applyNumberFormat="1" applyFont="1" applyFill="1" applyBorder="1" applyAlignment="1" applyProtection="1">
      <alignment horizontal="center"/>
    </xf>
    <xf numFmtId="1" fontId="32" fillId="0" borderId="189" xfId="0" applyNumberFormat="1" applyFont="1" applyFill="1" applyBorder="1" applyAlignment="1" applyProtection="1">
      <alignment horizontal="center"/>
    </xf>
    <xf numFmtId="1" fontId="32" fillId="0" borderId="87" xfId="0" applyNumberFormat="1" applyFont="1" applyFill="1" applyBorder="1" applyAlignment="1" applyProtection="1">
      <alignment horizontal="center"/>
    </xf>
    <xf numFmtId="176" fontId="17" fillId="0" borderId="102" xfId="0" applyNumberFormat="1" applyFont="1" applyBorder="1" applyAlignment="1" applyProtection="1"/>
    <xf numFmtId="176" fontId="17" fillId="0" borderId="166" xfId="0" applyNumberFormat="1" applyFont="1" applyBorder="1" applyAlignment="1" applyProtection="1"/>
    <xf numFmtId="176" fontId="14" fillId="7" borderId="144" xfId="0" applyNumberFormat="1" applyFont="1" applyFill="1" applyBorder="1" applyAlignment="1" applyProtection="1"/>
    <xf numFmtId="0" fontId="0" fillId="0" borderId="4" xfId="0" applyBorder="1" applyAlignment="1" applyProtection="1"/>
    <xf numFmtId="176" fontId="7" fillId="7" borderId="141" xfId="0" applyNumberFormat="1" applyFont="1" applyFill="1" applyBorder="1" applyAlignment="1" applyProtection="1"/>
    <xf numFmtId="0" fontId="0" fillId="0" borderId="30" xfId="0" applyBorder="1" applyAlignment="1" applyProtection="1"/>
    <xf numFmtId="176" fontId="14" fillId="0" borderId="144" xfId="0" quotePrefix="1" applyNumberFormat="1" applyFont="1" applyFill="1" applyBorder="1" applyAlignment="1" applyProtection="1"/>
    <xf numFmtId="176" fontId="14" fillId="0" borderId="144" xfId="0" applyNumberFormat="1" applyFont="1" applyFill="1" applyBorder="1" applyAlignment="1" applyProtection="1"/>
    <xf numFmtId="0" fontId="14" fillId="19" borderId="86" xfId="0" applyFont="1" applyFill="1" applyBorder="1" applyAlignment="1" applyProtection="1">
      <alignment horizontal="center" vertical="center"/>
    </xf>
    <xf numFmtId="0" fontId="14" fillId="19" borderId="73" xfId="0" applyFont="1" applyFill="1" applyBorder="1" applyAlignment="1" applyProtection="1">
      <alignment horizontal="center" vertical="center"/>
    </xf>
    <xf numFmtId="0" fontId="14" fillId="19" borderId="87" xfId="0" applyFont="1" applyFill="1" applyBorder="1" applyAlignment="1" applyProtection="1">
      <alignment horizontal="center" vertical="center"/>
    </xf>
    <xf numFmtId="0" fontId="14" fillId="19" borderId="74" xfId="0" applyFont="1" applyFill="1" applyBorder="1" applyAlignment="1" applyProtection="1">
      <alignment horizontal="center" vertical="center"/>
    </xf>
    <xf numFmtId="0" fontId="14" fillId="19" borderId="70" xfId="0" applyFont="1" applyFill="1" applyBorder="1" applyAlignment="1" applyProtection="1">
      <alignment horizontal="center" vertical="center"/>
    </xf>
    <xf numFmtId="0" fontId="14" fillId="19" borderId="79" xfId="0" applyFont="1" applyFill="1" applyBorder="1" applyAlignment="1" applyProtection="1">
      <alignment horizontal="center" vertical="center"/>
    </xf>
    <xf numFmtId="0" fontId="14" fillId="19" borderId="84" xfId="0" applyFont="1" applyFill="1" applyBorder="1" applyAlignment="1" applyProtection="1">
      <alignment horizontal="center" vertical="center"/>
    </xf>
    <xf numFmtId="0" fontId="14" fillId="19" borderId="190" xfId="0" applyFont="1" applyFill="1" applyBorder="1" applyAlignment="1" applyProtection="1">
      <alignment horizontal="center" vertical="center"/>
    </xf>
    <xf numFmtId="0" fontId="14" fillId="19" borderId="80" xfId="0" applyFont="1" applyFill="1" applyBorder="1" applyAlignment="1" applyProtection="1">
      <alignment horizontal="center" vertical="center"/>
    </xf>
    <xf numFmtId="0" fontId="14" fillId="19" borderId="192" xfId="0" applyFont="1" applyFill="1" applyBorder="1" applyAlignment="1" applyProtection="1">
      <alignment horizontal="center" vertical="center"/>
    </xf>
    <xf numFmtId="0" fontId="11" fillId="7" borderId="144" xfId="0" applyFont="1" applyFill="1" applyBorder="1" applyAlignment="1" applyProtection="1">
      <alignment horizontal="center"/>
    </xf>
    <xf numFmtId="0" fontId="11" fillId="7" borderId="4" xfId="0" applyFont="1" applyFill="1" applyBorder="1" applyAlignment="1" applyProtection="1">
      <alignment horizontal="center"/>
    </xf>
    <xf numFmtId="0" fontId="11" fillId="7" borderId="2" xfId="0" applyFont="1" applyFill="1" applyBorder="1" applyAlignment="1" applyProtection="1">
      <alignment horizontal="center"/>
    </xf>
    <xf numFmtId="0" fontId="11" fillId="7" borderId="141" xfId="0" applyFont="1" applyFill="1" applyBorder="1" applyAlignment="1" applyProtection="1">
      <alignment horizontal="center"/>
    </xf>
    <xf numFmtId="0" fontId="11" fillId="7" borderId="30" xfId="0" applyFont="1" applyFill="1" applyBorder="1" applyAlignment="1" applyProtection="1">
      <alignment horizontal="center"/>
    </xf>
    <xf numFmtId="0" fontId="11" fillId="7" borderId="32" xfId="0" applyFont="1" applyFill="1" applyBorder="1" applyAlignment="1" applyProtection="1">
      <alignment horizontal="center"/>
    </xf>
    <xf numFmtId="176" fontId="17" fillId="0" borderId="111" xfId="0" applyNumberFormat="1" applyFont="1" applyBorder="1" applyAlignment="1" applyProtection="1"/>
    <xf numFmtId="0" fontId="0" fillId="0" borderId="167" xfId="0" applyBorder="1" applyAlignment="1" applyProtection="1"/>
    <xf numFmtId="0" fontId="11" fillId="7" borderId="157" xfId="0" applyFont="1" applyFill="1" applyBorder="1" applyAlignment="1" applyProtection="1">
      <alignment horizontal="center"/>
    </xf>
    <xf numFmtId="0" fontId="11" fillId="7" borderId="14" xfId="0" applyFont="1" applyFill="1" applyBorder="1" applyAlignment="1" applyProtection="1">
      <alignment horizontal="center"/>
    </xf>
    <xf numFmtId="0" fontId="11" fillId="7" borderId="3" xfId="0" applyFont="1" applyFill="1" applyBorder="1" applyAlignment="1" applyProtection="1">
      <alignment horizontal="center"/>
    </xf>
    <xf numFmtId="176" fontId="35" fillId="0" borderId="102" xfId="0" applyNumberFormat="1" applyFont="1" applyBorder="1" applyAlignment="1" applyProtection="1">
      <alignment horizontal="right"/>
    </xf>
    <xf numFmtId="176" fontId="35" fillId="0" borderId="140" xfId="0" applyNumberFormat="1" applyFont="1" applyBorder="1" applyAlignment="1" applyProtection="1">
      <alignment horizontal="right"/>
    </xf>
    <xf numFmtId="176" fontId="14" fillId="0" borderId="107" xfId="0" applyNumberFormat="1" applyFont="1" applyBorder="1" applyAlignment="1" applyProtection="1">
      <alignment horizontal="center" vertical="center"/>
    </xf>
    <xf numFmtId="0" fontId="0" fillId="0" borderId="122" xfId="0" applyBorder="1" applyAlignment="1" applyProtection="1">
      <alignment horizontal="center"/>
    </xf>
    <xf numFmtId="0" fontId="0" fillId="0" borderId="104" xfId="0" applyBorder="1" applyAlignment="1" applyProtection="1">
      <alignment horizontal="center"/>
    </xf>
    <xf numFmtId="0" fontId="6" fillId="0" borderId="107" xfId="0" applyNumberFormat="1" applyFont="1" applyBorder="1" applyAlignment="1" applyProtection="1">
      <alignment wrapText="1"/>
    </xf>
    <xf numFmtId="0" fontId="6" fillId="0" borderId="122" xfId="0" applyNumberFormat="1" applyFont="1" applyBorder="1" applyAlignment="1" applyProtection="1">
      <alignment wrapText="1"/>
    </xf>
    <xf numFmtId="0" fontId="6" fillId="0" borderId="140" xfId="0" applyNumberFormat="1" applyFont="1" applyBorder="1" applyAlignment="1" applyProtection="1">
      <alignment wrapText="1"/>
    </xf>
    <xf numFmtId="0" fontId="6" fillId="0" borderId="11" xfId="0" applyNumberFormat="1" applyFont="1" applyBorder="1" applyAlignment="1" applyProtection="1">
      <alignment vertical="center" wrapText="1"/>
    </xf>
    <xf numFmtId="0" fontId="6" fillId="0" borderId="14" xfId="0" applyFont="1" applyBorder="1" applyAlignment="1" applyProtection="1">
      <alignment vertical="center" wrapText="1"/>
    </xf>
    <xf numFmtId="0" fontId="6" fillId="0" borderId="163" xfId="0" applyFont="1" applyBorder="1" applyAlignment="1" applyProtection="1">
      <alignment vertical="center" wrapText="1"/>
    </xf>
    <xf numFmtId="0" fontId="6" fillId="0" borderId="80" xfId="0" applyFont="1" applyBorder="1" applyAlignment="1" applyProtection="1">
      <alignment vertical="center" wrapText="1"/>
    </xf>
    <xf numFmtId="0" fontId="6" fillId="0" borderId="70" xfId="0" applyFont="1" applyBorder="1" applyAlignment="1" applyProtection="1">
      <alignment vertical="center" wrapText="1"/>
    </xf>
    <xf numFmtId="0" fontId="6" fillId="0" borderId="148" xfId="0" applyFont="1" applyBorder="1" applyAlignment="1" applyProtection="1">
      <alignment vertical="center" wrapText="1"/>
    </xf>
    <xf numFmtId="0" fontId="14" fillId="7" borderId="33" xfId="0" applyNumberFormat="1" applyFont="1" applyFill="1" applyBorder="1" applyAlignment="1" applyProtection="1">
      <alignment horizontal="center" vertical="center"/>
    </xf>
    <xf numFmtId="0" fontId="14" fillId="0" borderId="71" xfId="0" applyFont="1" applyBorder="1" applyAlignment="1" applyProtection="1">
      <alignment horizontal="center" vertical="center"/>
    </xf>
    <xf numFmtId="0" fontId="38" fillId="7" borderId="152" xfId="0" applyFont="1" applyFill="1" applyBorder="1" applyAlignment="1" applyProtection="1">
      <alignment horizontal="center" vertical="center"/>
    </xf>
    <xf numFmtId="0" fontId="38" fillId="7" borderId="121" xfId="0" applyFont="1" applyFill="1" applyBorder="1" applyAlignment="1" applyProtection="1">
      <alignment horizontal="center" vertical="center"/>
    </xf>
    <xf numFmtId="0" fontId="38" fillId="7" borderId="153" xfId="0" applyFont="1" applyFill="1" applyBorder="1" applyAlignment="1" applyProtection="1">
      <alignment horizontal="center" vertical="center"/>
    </xf>
    <xf numFmtId="176" fontId="14" fillId="0" borderId="159" xfId="0" applyNumberFormat="1" applyFont="1" applyBorder="1" applyAlignment="1" applyProtection="1">
      <alignment horizontal="center" vertical="center"/>
    </xf>
    <xf numFmtId="0" fontId="0" fillId="0" borderId="160" xfId="0" applyBorder="1" applyAlignment="1" applyProtection="1">
      <alignment horizontal="center"/>
    </xf>
    <xf numFmtId="0" fontId="0" fillId="0" borderId="161" xfId="0" applyBorder="1" applyAlignment="1" applyProtection="1">
      <alignment horizontal="center"/>
    </xf>
    <xf numFmtId="0" fontId="6" fillId="0" borderId="159" xfId="0" applyNumberFormat="1" applyFont="1" applyBorder="1" applyAlignment="1" applyProtection="1">
      <alignment wrapText="1"/>
    </xf>
    <xf numFmtId="0" fontId="6" fillId="0" borderId="160" xfId="0" applyNumberFormat="1" applyFont="1" applyBorder="1" applyAlignment="1" applyProtection="1">
      <alignment wrapText="1"/>
    </xf>
    <xf numFmtId="0" fontId="6" fillId="0" borderId="162" xfId="0" applyNumberFormat="1" applyFont="1" applyBorder="1" applyAlignment="1" applyProtection="1">
      <alignment wrapText="1"/>
    </xf>
    <xf numFmtId="0" fontId="14" fillId="0" borderId="1" xfId="0" applyNumberFormat="1" applyFont="1" applyBorder="1" applyAlignment="1" applyProtection="1">
      <alignment vertical="center"/>
    </xf>
    <xf numFmtId="0" fontId="14" fillId="0" borderId="4" xfId="0" applyFont="1" applyBorder="1" applyAlignment="1" applyProtection="1">
      <alignment vertical="center"/>
    </xf>
    <xf numFmtId="0" fontId="14" fillId="0" borderId="154" xfId="0" applyFont="1" applyBorder="1" applyAlignment="1" applyProtection="1">
      <alignment vertical="center"/>
    </xf>
    <xf numFmtId="0" fontId="18" fillId="0" borderId="13" xfId="0" applyFont="1" applyBorder="1" applyAlignment="1" applyProtection="1">
      <alignment horizontal="center" vertical="center"/>
    </xf>
    <xf numFmtId="183" fontId="18" fillId="0" borderId="13" xfId="0" applyNumberFormat="1" applyFont="1" applyBorder="1" applyAlignment="1" applyProtection="1">
      <alignment horizontal="center" vertical="center"/>
    </xf>
    <xf numFmtId="0" fontId="9" fillId="7" borderId="85" xfId="0" applyFont="1" applyFill="1" applyBorder="1" applyAlignment="1" applyProtection="1">
      <alignment horizontal="center" vertical="center"/>
    </xf>
    <xf numFmtId="0" fontId="9" fillId="0" borderId="85" xfId="0" applyFont="1" applyBorder="1" applyAlignment="1" applyProtection="1">
      <alignment horizontal="center" vertical="center"/>
    </xf>
    <xf numFmtId="0" fontId="9" fillId="0" borderId="158" xfId="0" applyFont="1" applyBorder="1" applyAlignment="1" applyProtection="1">
      <alignment horizontal="center" vertical="center"/>
    </xf>
    <xf numFmtId="0" fontId="14" fillId="7" borderId="86" xfId="0" applyFont="1" applyFill="1" applyBorder="1" applyAlignment="1" applyProtection="1">
      <alignment horizontal="center" vertical="center"/>
    </xf>
    <xf numFmtId="0" fontId="14" fillId="7" borderId="73" xfId="0" applyFont="1" applyFill="1" applyBorder="1" applyAlignment="1" applyProtection="1">
      <alignment horizontal="center" vertical="center"/>
    </xf>
    <xf numFmtId="0" fontId="14" fillId="7" borderId="87" xfId="0" applyFont="1" applyFill="1" applyBorder="1" applyAlignment="1" applyProtection="1">
      <alignment horizontal="center" vertical="center"/>
    </xf>
    <xf numFmtId="0" fontId="19" fillId="7" borderId="141" xfId="0" applyFont="1" applyFill="1" applyBorder="1" applyAlignment="1" applyProtection="1">
      <alignment horizontal="center" vertical="center"/>
    </xf>
    <xf numFmtId="0" fontId="14" fillId="7" borderId="30" xfId="0" applyFont="1" applyFill="1" applyBorder="1" applyAlignment="1" applyProtection="1">
      <alignment horizontal="center" vertical="center"/>
    </xf>
    <xf numFmtId="0" fontId="14" fillId="7" borderId="32" xfId="0" applyFont="1" applyFill="1" applyBorder="1" applyAlignment="1" applyProtection="1">
      <alignment horizontal="center" vertical="center"/>
    </xf>
    <xf numFmtId="20" fontId="19" fillId="0" borderId="29" xfId="0" applyNumberFormat="1" applyFont="1" applyFill="1" applyBorder="1" applyAlignment="1" applyProtection="1">
      <alignment horizontal="left" vertical="center"/>
    </xf>
    <xf numFmtId="0" fontId="14" fillId="0" borderId="32" xfId="0" applyFont="1" applyBorder="1" applyAlignment="1" applyProtection="1">
      <alignment horizontal="left" vertical="center"/>
    </xf>
    <xf numFmtId="20" fontId="14" fillId="0" borderId="75" xfId="0" applyNumberFormat="1" applyFont="1" applyBorder="1" applyAlignment="1" applyProtection="1">
      <alignment horizontal="center" vertical="center"/>
    </xf>
    <xf numFmtId="20" fontId="14" fillId="0" borderId="71" xfId="0" applyNumberFormat="1" applyFont="1" applyBorder="1" applyAlignment="1" applyProtection="1">
      <alignment horizontal="center" vertical="center"/>
    </xf>
    <xf numFmtId="20" fontId="19" fillId="0" borderId="30" xfId="0" applyNumberFormat="1" applyFont="1" applyFill="1" applyBorder="1" applyAlignment="1" applyProtection="1">
      <alignment horizontal="left" vertical="center"/>
    </xf>
    <xf numFmtId="20" fontId="19" fillId="0" borderId="155" xfId="0" applyNumberFormat="1" applyFont="1" applyFill="1" applyBorder="1" applyAlignment="1" applyProtection="1">
      <alignment horizontal="left" vertical="center"/>
    </xf>
    <xf numFmtId="0" fontId="14" fillId="0" borderId="84" xfId="0" applyFont="1" applyFill="1" applyBorder="1" applyAlignment="1" applyProtection="1">
      <alignment horizontal="left" vertical="center"/>
    </xf>
    <xf numFmtId="0" fontId="14" fillId="0" borderId="73" xfId="0" applyFont="1" applyFill="1" applyBorder="1" applyAlignment="1" applyProtection="1">
      <alignment horizontal="left" vertical="center"/>
    </xf>
    <xf numFmtId="0" fontId="14" fillId="0" borderId="147" xfId="0" applyFont="1" applyFill="1" applyBorder="1" applyAlignment="1" applyProtection="1">
      <alignment horizontal="left" vertical="center"/>
    </xf>
    <xf numFmtId="0" fontId="14" fillId="0" borderId="9" xfId="0" applyFont="1" applyFill="1" applyBorder="1" applyAlignment="1" applyProtection="1">
      <alignment horizontal="left" vertical="center"/>
    </xf>
    <xf numFmtId="0" fontId="14" fillId="0" borderId="200" xfId="0" applyFont="1" applyFill="1" applyBorder="1" applyAlignment="1" applyProtection="1">
      <alignment horizontal="left" vertical="center"/>
    </xf>
    <xf numFmtId="0" fontId="14" fillId="0" borderId="181" xfId="0" applyFont="1" applyFill="1" applyBorder="1" applyAlignment="1" applyProtection="1">
      <alignment horizontal="left" vertical="center"/>
    </xf>
    <xf numFmtId="0" fontId="14" fillId="7" borderId="120" xfId="0" applyFont="1" applyFill="1" applyBorder="1" applyAlignment="1" applyProtection="1">
      <alignment horizontal="center" vertical="center"/>
    </xf>
    <xf numFmtId="0" fontId="14" fillId="7" borderId="19" xfId="0" applyFont="1" applyFill="1" applyBorder="1" applyAlignment="1" applyProtection="1">
      <alignment horizontal="center" vertical="center"/>
    </xf>
    <xf numFmtId="20" fontId="19" fillId="0" borderId="84" xfId="0" applyNumberFormat="1" applyFont="1" applyFill="1" applyBorder="1" applyAlignment="1" applyProtection="1">
      <alignment horizontal="left" vertical="center"/>
    </xf>
    <xf numFmtId="20" fontId="19" fillId="0" borderId="87" xfId="0" applyNumberFormat="1" applyFont="1" applyFill="1" applyBorder="1" applyAlignment="1" applyProtection="1">
      <alignment horizontal="left" vertical="center"/>
    </xf>
    <xf numFmtId="20" fontId="19" fillId="0" borderId="9" xfId="0" applyNumberFormat="1" applyFont="1" applyFill="1" applyBorder="1" applyAlignment="1" applyProtection="1">
      <alignment horizontal="left" vertical="center"/>
    </xf>
    <xf numFmtId="20" fontId="19" fillId="0" borderId="201" xfId="0" applyNumberFormat="1" applyFont="1" applyFill="1" applyBorder="1" applyAlignment="1" applyProtection="1">
      <alignment horizontal="left" vertical="center"/>
    </xf>
    <xf numFmtId="0" fontId="19" fillId="7" borderId="86" xfId="0" applyFont="1" applyFill="1" applyBorder="1" applyAlignment="1" applyProtection="1">
      <alignment horizontal="center" vertical="center"/>
    </xf>
    <xf numFmtId="0" fontId="19" fillId="7" borderId="73" xfId="0" applyFont="1" applyFill="1" applyBorder="1" applyAlignment="1" applyProtection="1">
      <alignment horizontal="center" vertical="center"/>
    </xf>
    <xf numFmtId="0" fontId="19" fillId="7" borderId="87" xfId="0" applyFont="1" applyFill="1" applyBorder="1" applyAlignment="1" applyProtection="1">
      <alignment horizontal="center" vertical="center"/>
    </xf>
    <xf numFmtId="0" fontId="19" fillId="7" borderId="136" xfId="0" applyFont="1" applyFill="1" applyBorder="1" applyAlignment="1" applyProtection="1">
      <alignment horizontal="center" vertical="center"/>
    </xf>
    <xf numFmtId="0" fontId="19" fillId="7" borderId="200" xfId="0" applyFont="1" applyFill="1" applyBorder="1" applyAlignment="1" applyProtection="1">
      <alignment horizontal="center" vertical="center"/>
    </xf>
    <xf numFmtId="0" fontId="19" fillId="7" borderId="201" xfId="0" applyFont="1" applyFill="1" applyBorder="1" applyAlignment="1" applyProtection="1">
      <alignment horizontal="center" vertical="center"/>
    </xf>
    <xf numFmtId="0" fontId="14" fillId="7" borderId="84" xfId="0" applyFont="1" applyFill="1" applyBorder="1" applyAlignment="1" applyProtection="1">
      <alignment horizontal="center" vertical="center"/>
    </xf>
    <xf numFmtId="0" fontId="14" fillId="7" borderId="147" xfId="0" applyFont="1" applyFill="1" applyBorder="1" applyAlignment="1" applyProtection="1">
      <alignment horizontal="center" vertical="center"/>
    </xf>
    <xf numFmtId="0" fontId="14" fillId="7" borderId="80" xfId="0" applyFont="1" applyFill="1" applyBorder="1" applyAlignment="1" applyProtection="1">
      <alignment horizontal="center" vertical="center"/>
    </xf>
    <xf numFmtId="0" fontId="14" fillId="7" borderId="70" xfId="0" applyFont="1" applyFill="1" applyBorder="1" applyAlignment="1" applyProtection="1">
      <alignment horizontal="center" vertical="center"/>
    </xf>
    <xf numFmtId="0" fontId="14" fillId="7" borderId="79" xfId="0" applyFont="1" applyFill="1" applyBorder="1" applyAlignment="1" applyProtection="1">
      <alignment horizontal="center" vertical="center"/>
    </xf>
    <xf numFmtId="0" fontId="14" fillId="7" borderId="148" xfId="0" applyFont="1" applyFill="1" applyBorder="1" applyAlignment="1" applyProtection="1">
      <alignment horizontal="center" vertical="center"/>
    </xf>
    <xf numFmtId="0" fontId="6" fillId="0" borderId="98" xfId="0" applyNumberFormat="1" applyFont="1" applyBorder="1" applyAlignment="1" applyProtection="1">
      <alignment wrapText="1"/>
    </xf>
    <xf numFmtId="0" fontId="6" fillId="0" borderId="149" xfId="0" applyNumberFormat="1" applyFont="1" applyBorder="1" applyAlignment="1" applyProtection="1">
      <alignment wrapText="1"/>
    </xf>
    <xf numFmtId="0" fontId="6" fillId="0" borderId="150" xfId="0" applyNumberFormat="1" applyFont="1" applyBorder="1" applyAlignment="1" applyProtection="1">
      <alignment wrapText="1"/>
    </xf>
    <xf numFmtId="176" fontId="14" fillId="0" borderId="98" xfId="0" applyNumberFormat="1" applyFont="1" applyBorder="1" applyAlignment="1" applyProtection="1">
      <alignment horizontal="center" vertical="center"/>
    </xf>
    <xf numFmtId="0" fontId="14" fillId="0" borderId="149" xfId="0" applyFont="1" applyBorder="1" applyAlignment="1" applyProtection="1">
      <alignment horizontal="center"/>
    </xf>
    <xf numFmtId="0" fontId="14" fillId="0" borderId="95" xfId="0" applyFont="1" applyBorder="1" applyAlignment="1" applyProtection="1">
      <alignment horizontal="center"/>
    </xf>
    <xf numFmtId="0" fontId="14" fillId="0" borderId="122" xfId="0" applyFont="1" applyBorder="1" applyAlignment="1" applyProtection="1">
      <alignment horizontal="center"/>
    </xf>
    <xf numFmtId="0" fontId="14" fillId="0" borderId="104" xfId="0" applyFont="1" applyBorder="1" applyAlignment="1" applyProtection="1">
      <alignment horizontal="center"/>
    </xf>
    <xf numFmtId="0" fontId="9" fillId="7" borderId="143" xfId="0" applyFont="1" applyFill="1" applyBorder="1" applyAlignment="1" applyProtection="1">
      <alignment horizontal="center" vertical="center"/>
    </xf>
    <xf numFmtId="20" fontId="14" fillId="0" borderId="156" xfId="0" applyNumberFormat="1" applyFont="1" applyBorder="1" applyAlignment="1" applyProtection="1">
      <alignment horizontal="center" vertical="center"/>
    </xf>
    <xf numFmtId="20" fontId="14" fillId="0" borderId="79" xfId="0" applyNumberFormat="1" applyFont="1" applyBorder="1" applyAlignment="1" applyProtection="1">
      <alignment horizontal="center" vertical="center"/>
    </xf>
    <xf numFmtId="20" fontId="14" fillId="0" borderId="151" xfId="0" applyNumberFormat="1" applyFont="1" applyBorder="1" applyAlignment="1" applyProtection="1">
      <alignment horizontal="center" vertical="center"/>
    </xf>
    <xf numFmtId="20" fontId="14" fillId="0" borderId="72" xfId="0" applyNumberFormat="1" applyFont="1" applyBorder="1" applyAlignment="1" applyProtection="1">
      <alignment horizontal="center" vertical="center"/>
    </xf>
    <xf numFmtId="176" fontId="35" fillId="0" borderId="93" xfId="0" applyNumberFormat="1" applyFont="1" applyBorder="1" applyAlignment="1" applyProtection="1">
      <alignment horizontal="right"/>
    </xf>
    <xf numFmtId="176" fontId="35" fillId="0" borderId="150" xfId="0" applyNumberFormat="1" applyFont="1" applyBorder="1" applyAlignment="1" applyProtection="1">
      <alignment horizontal="right"/>
    </xf>
    <xf numFmtId="0" fontId="14" fillId="7" borderId="74" xfId="0" applyFont="1" applyFill="1" applyBorder="1" applyAlignment="1" applyProtection="1">
      <alignment horizontal="center" vertical="center"/>
    </xf>
    <xf numFmtId="0" fontId="14" fillId="7" borderId="164" xfId="0" applyFont="1" applyFill="1" applyBorder="1" applyAlignment="1" applyProtection="1">
      <alignment horizontal="center" vertical="center"/>
    </xf>
    <xf numFmtId="176" fontId="17" fillId="0" borderId="93" xfId="0" applyNumberFormat="1" applyFont="1" applyBorder="1" applyAlignment="1" applyProtection="1"/>
    <xf numFmtId="176" fontId="17" fillId="0" borderId="165" xfId="0" applyNumberFormat="1" applyFont="1" applyBorder="1" applyAlignment="1" applyProtection="1"/>
    <xf numFmtId="176" fontId="14" fillId="0" borderId="107" xfId="0" applyNumberFormat="1" applyFont="1" applyBorder="1" applyAlignment="1" applyProtection="1">
      <alignment horizontal="center"/>
    </xf>
    <xf numFmtId="0" fontId="0" fillId="0" borderId="79" xfId="0" applyBorder="1" applyAlignment="1" applyProtection="1">
      <alignment vertical="center"/>
    </xf>
    <xf numFmtId="176" fontId="14" fillId="0" borderId="98" xfId="0" applyNumberFormat="1" applyFont="1" applyBorder="1" applyAlignment="1" applyProtection="1">
      <alignment horizontal="center"/>
    </xf>
    <xf numFmtId="176" fontId="35" fillId="0" borderId="141" xfId="0" applyNumberFormat="1" applyFont="1" applyFill="1" applyBorder="1" applyAlignment="1" applyProtection="1">
      <alignment horizontal="center" vertical="center"/>
    </xf>
    <xf numFmtId="176" fontId="36" fillId="0" borderId="32" xfId="0" applyNumberFormat="1" applyFont="1" applyBorder="1" applyAlignment="1" applyProtection="1">
      <alignment horizontal="center" vertical="center"/>
    </xf>
    <xf numFmtId="0" fontId="17" fillId="7" borderId="142" xfId="0" applyFont="1" applyFill="1" applyBorder="1" applyAlignment="1" applyProtection="1">
      <alignment horizontal="center" vertical="center" wrapText="1"/>
    </xf>
    <xf numFmtId="0" fontId="17" fillId="7" borderId="143" xfId="0" applyFont="1" applyFill="1" applyBorder="1" applyAlignment="1" applyProtection="1">
      <alignment horizontal="center" vertical="center" wrapText="1"/>
    </xf>
    <xf numFmtId="176" fontId="39" fillId="0" borderId="144" xfId="0" applyNumberFormat="1" applyFont="1" applyFill="1" applyBorder="1" applyAlignment="1" applyProtection="1">
      <alignment horizontal="center" vertical="center"/>
    </xf>
    <xf numFmtId="176" fontId="40" fillId="0" borderId="2" xfId="0" applyNumberFormat="1" applyFont="1" applyBorder="1" applyAlignment="1" applyProtection="1">
      <alignment horizontal="center" vertical="center"/>
    </xf>
    <xf numFmtId="176" fontId="14" fillId="0" borderId="145" xfId="0" applyNumberFormat="1" applyFont="1" applyBorder="1" applyAlignment="1" applyProtection="1">
      <alignment horizontal="center"/>
    </xf>
    <xf numFmtId="0" fontId="14" fillId="0" borderId="146" xfId="0" applyFont="1" applyBorder="1" applyAlignment="1" applyProtection="1">
      <alignment horizontal="center"/>
    </xf>
    <xf numFmtId="176" fontId="36" fillId="7" borderId="144" xfId="0" applyNumberFormat="1" applyFont="1" applyFill="1" applyBorder="1" applyAlignment="1" applyProtection="1">
      <alignment horizontal="right"/>
    </xf>
    <xf numFmtId="176" fontId="36" fillId="7" borderId="154" xfId="0" applyNumberFormat="1" applyFont="1" applyFill="1" applyBorder="1" applyAlignment="1" applyProtection="1">
      <alignment horizontal="right"/>
    </xf>
    <xf numFmtId="176" fontId="35" fillId="0" borderId="111" xfId="0" applyNumberFormat="1" applyFont="1" applyBorder="1" applyAlignment="1" applyProtection="1">
      <alignment horizontal="right"/>
    </xf>
    <xf numFmtId="176" fontId="35" fillId="0" borderId="195" xfId="0" applyNumberFormat="1" applyFont="1" applyBorder="1" applyAlignment="1" applyProtection="1">
      <alignment horizontal="right"/>
    </xf>
    <xf numFmtId="176" fontId="36" fillId="0" borderId="144" xfId="0" quotePrefix="1" applyNumberFormat="1" applyFont="1" applyFill="1" applyBorder="1" applyAlignment="1" applyProtection="1">
      <alignment horizontal="right"/>
    </xf>
    <xf numFmtId="176" fontId="36" fillId="0" borderId="154" xfId="0" quotePrefix="1" applyNumberFormat="1" applyFont="1" applyFill="1" applyBorder="1" applyAlignment="1" applyProtection="1">
      <alignment horizontal="right"/>
    </xf>
    <xf numFmtId="176" fontId="36" fillId="0" borderId="144" xfId="0" applyNumberFormat="1" applyFont="1" applyFill="1" applyBorder="1" applyAlignment="1" applyProtection="1">
      <alignment horizontal="right"/>
    </xf>
    <xf numFmtId="176" fontId="36" fillId="0" borderId="154" xfId="0" applyNumberFormat="1" applyFont="1" applyFill="1" applyBorder="1" applyAlignment="1" applyProtection="1">
      <alignment horizontal="right"/>
    </xf>
    <xf numFmtId="176" fontId="35" fillId="7" borderId="141" xfId="0" applyNumberFormat="1" applyFont="1" applyFill="1" applyBorder="1" applyAlignment="1" applyProtection="1">
      <alignment horizontal="right"/>
    </xf>
    <xf numFmtId="176" fontId="35" fillId="7" borderId="155" xfId="0" applyNumberFormat="1" applyFont="1" applyFill="1" applyBorder="1" applyAlignment="1" applyProtection="1">
      <alignment horizontal="right"/>
    </xf>
    <xf numFmtId="20" fontId="0" fillId="7" borderId="1" xfId="0" applyNumberFormat="1" applyFill="1" applyBorder="1" applyAlignment="1">
      <alignment horizontal="center"/>
    </xf>
    <xf numFmtId="20" fontId="0" fillId="7" borderId="2" xfId="0" applyNumberFormat="1" applyFill="1" applyBorder="1" applyAlignment="1">
      <alignment horizontal="center"/>
    </xf>
    <xf numFmtId="0" fontId="0" fillId="0" borderId="1" xfId="0" applyBorder="1" applyAlignment="1" applyProtection="1">
      <alignment horizontal="left"/>
      <protection locked="0"/>
    </xf>
    <xf numFmtId="0" fontId="0" fillId="0" borderId="4" xfId="0" applyBorder="1" applyAlignment="1" applyProtection="1">
      <alignment horizontal="left"/>
      <protection locked="0"/>
    </xf>
    <xf numFmtId="0" fontId="0" fillId="0" borderId="2" xfId="0" applyBorder="1" applyAlignment="1" applyProtection="1">
      <alignment horizontal="left"/>
      <protection locked="0"/>
    </xf>
    <xf numFmtId="20" fontId="22" fillId="0" borderId="200" xfId="0" applyNumberFormat="1" applyFont="1" applyBorder="1" applyAlignment="1">
      <alignment horizontal="center"/>
    </xf>
    <xf numFmtId="0" fontId="7" fillId="0" borderId="200" xfId="0" applyFont="1" applyBorder="1" applyAlignment="1">
      <alignment horizontal="left"/>
    </xf>
    <xf numFmtId="0" fontId="0" fillId="7" borderId="1" xfId="0" applyFill="1" applyBorder="1" applyAlignment="1">
      <alignment horizontal="center" vertical="center"/>
    </xf>
    <xf numFmtId="0" fontId="0" fillId="7" borderId="4" xfId="0" applyFill="1" applyBorder="1" applyAlignment="1">
      <alignment horizontal="center" vertical="center"/>
    </xf>
    <xf numFmtId="0" fontId="0" fillId="7" borderId="2" xfId="0" applyFill="1" applyBorder="1" applyAlignment="1">
      <alignment horizontal="center" vertical="center"/>
    </xf>
    <xf numFmtId="0" fontId="16" fillId="0" borderId="172" xfId="0" applyNumberFormat="1" applyFont="1" applyFill="1" applyBorder="1" applyAlignment="1" applyProtection="1">
      <alignment vertical="center"/>
      <protection locked="0"/>
    </xf>
    <xf numFmtId="0" fontId="16" fillId="0" borderId="173" xfId="0" applyNumberFormat="1" applyFont="1" applyFill="1" applyBorder="1" applyAlignment="1" applyProtection="1">
      <alignment vertical="center"/>
      <protection locked="0"/>
    </xf>
    <xf numFmtId="189" fontId="7" fillId="18" borderId="122" xfId="0" applyNumberFormat="1" applyFont="1" applyFill="1" applyBorder="1" applyAlignment="1" applyProtection="1">
      <alignment vertical="center"/>
      <protection locked="0"/>
    </xf>
    <xf numFmtId="20" fontId="16" fillId="0" borderId="174" xfId="0" applyNumberFormat="1" applyFont="1" applyFill="1" applyBorder="1" applyAlignment="1" applyProtection="1">
      <alignment vertical="center"/>
      <protection locked="0"/>
    </xf>
    <xf numFmtId="0" fontId="16" fillId="0" borderId="149" xfId="0" applyFont="1" applyBorder="1" applyAlignment="1" applyProtection="1">
      <alignment vertical="center"/>
      <protection locked="0"/>
    </xf>
    <xf numFmtId="0" fontId="0" fillId="0" borderId="149" xfId="0" applyBorder="1" applyAlignment="1" applyProtection="1">
      <alignment vertical="center"/>
      <protection locked="0"/>
    </xf>
    <xf numFmtId="0" fontId="0" fillId="0" borderId="95" xfId="0" applyBorder="1" applyAlignment="1" applyProtection="1">
      <alignment vertical="center"/>
      <protection locked="0"/>
    </xf>
    <xf numFmtId="0" fontId="16" fillId="0" borderId="174" xfId="0" applyFont="1" applyBorder="1" applyAlignment="1" applyProtection="1">
      <alignment vertical="center"/>
      <protection locked="0"/>
    </xf>
    <xf numFmtId="0" fontId="0" fillId="0" borderId="174" xfId="0" applyBorder="1" applyAlignment="1" applyProtection="1">
      <alignment vertical="center"/>
      <protection locked="0"/>
    </xf>
    <xf numFmtId="0" fontId="0" fillId="0" borderId="126" xfId="0" applyBorder="1" applyAlignment="1" applyProtection="1">
      <alignment vertical="center"/>
      <protection locked="0"/>
    </xf>
    <xf numFmtId="0" fontId="16" fillId="0" borderId="130" xfId="0" applyFont="1" applyFill="1" applyBorder="1" applyAlignment="1" applyProtection="1">
      <alignment vertical="center"/>
      <protection locked="0"/>
    </xf>
    <xf numFmtId="0" fontId="0" fillId="0" borderId="175" xfId="0" applyFill="1" applyBorder="1" applyAlignment="1" applyProtection="1">
      <alignment vertical="center"/>
      <protection locked="0"/>
    </xf>
    <xf numFmtId="196" fontId="16" fillId="14" borderId="103" xfId="0" applyNumberFormat="1" applyFont="1" applyFill="1" applyBorder="1" applyAlignment="1" applyProtection="1">
      <alignment horizontal="center" vertical="center"/>
    </xf>
    <xf numFmtId="196" fontId="16" fillId="14" borderId="106" xfId="0" applyNumberFormat="1" applyFont="1" applyFill="1" applyBorder="1" applyAlignment="1" applyProtection="1">
      <alignment horizontal="center" vertical="center"/>
    </xf>
    <xf numFmtId="0" fontId="16" fillId="14" borderId="103" xfId="0" applyFont="1" applyFill="1" applyBorder="1" applyAlignment="1" applyProtection="1">
      <alignment horizontal="center" vertical="center"/>
    </xf>
    <xf numFmtId="0" fontId="16" fillId="14" borderId="106" xfId="0" applyFont="1" applyFill="1" applyBorder="1" applyAlignment="1" applyProtection="1">
      <alignment horizontal="center" vertical="center"/>
    </xf>
    <xf numFmtId="0" fontId="16" fillId="0" borderId="130" xfId="0" applyNumberFormat="1" applyFont="1" applyFill="1" applyBorder="1" applyAlignment="1" applyProtection="1">
      <alignment vertical="center"/>
      <protection locked="0"/>
    </xf>
    <xf numFmtId="0" fontId="0" fillId="0" borderId="130" xfId="0" applyNumberFormat="1" applyBorder="1" applyAlignment="1" applyProtection="1">
      <alignment vertical="center"/>
      <protection locked="0"/>
    </xf>
    <xf numFmtId="0" fontId="0" fillId="0" borderId="175" xfId="0" applyNumberFormat="1" applyBorder="1" applyAlignment="1" applyProtection="1">
      <alignment vertical="center"/>
      <protection locked="0"/>
    </xf>
    <xf numFmtId="5" fontId="14" fillId="18" borderId="122" xfId="0" applyNumberFormat="1" applyFont="1" applyFill="1" applyBorder="1" applyAlignment="1" applyProtection="1">
      <alignment vertical="center"/>
      <protection locked="0"/>
    </xf>
    <xf numFmtId="5" fontId="14" fillId="18" borderId="104" xfId="0" applyNumberFormat="1" applyFont="1" applyFill="1" applyBorder="1" applyAlignment="1" applyProtection="1">
      <alignment vertical="center"/>
      <protection locked="0"/>
    </xf>
    <xf numFmtId="0" fontId="16" fillId="0" borderId="0" xfId="0" applyFont="1" applyBorder="1" applyAlignment="1" applyProtection="1">
      <alignment vertical="center"/>
      <protection locked="0"/>
    </xf>
    <xf numFmtId="0" fontId="0" fillId="0" borderId="0" xfId="0" applyBorder="1" applyAlignment="1" applyProtection="1">
      <alignment vertical="center"/>
      <protection locked="0"/>
    </xf>
    <xf numFmtId="0" fontId="16" fillId="14" borderId="168" xfId="0" applyFont="1" applyFill="1" applyBorder="1" applyAlignment="1" applyProtection="1">
      <alignment horizontal="center" vertical="center"/>
    </xf>
    <xf numFmtId="0" fontId="0" fillId="14" borderId="169" xfId="0" applyFill="1" applyBorder="1" applyAlignment="1" applyProtection="1">
      <alignment horizontal="center" vertical="center"/>
    </xf>
    <xf numFmtId="191" fontId="16" fillId="0" borderId="172" xfId="0" applyNumberFormat="1" applyFont="1" applyFill="1" applyBorder="1" applyAlignment="1" applyProtection="1">
      <alignment vertical="center"/>
      <protection locked="0"/>
    </xf>
    <xf numFmtId="0" fontId="0" fillId="0" borderId="172" xfId="0" applyBorder="1" applyAlignment="1" applyProtection="1">
      <alignment vertical="center"/>
      <protection locked="0"/>
    </xf>
    <xf numFmtId="0" fontId="0" fillId="0" borderId="173" xfId="0" applyBorder="1" applyAlignment="1" applyProtection="1">
      <alignment vertical="center"/>
      <protection locked="0"/>
    </xf>
    <xf numFmtId="3" fontId="14" fillId="18" borderId="122" xfId="0" applyNumberFormat="1" applyFont="1" applyFill="1" applyBorder="1" applyAlignment="1" applyProtection="1">
      <alignment vertical="center"/>
      <protection locked="0"/>
    </xf>
    <xf numFmtId="3" fontId="14" fillId="18" borderId="104" xfId="0" applyNumberFormat="1" applyFont="1" applyFill="1" applyBorder="1" applyAlignment="1" applyProtection="1">
      <alignment vertical="center"/>
      <protection locked="0"/>
    </xf>
    <xf numFmtId="20" fontId="16" fillId="0" borderId="149" xfId="0" applyNumberFormat="1" applyFont="1" applyFill="1" applyBorder="1" applyAlignment="1" applyProtection="1">
      <alignment vertical="center"/>
      <protection locked="0"/>
    </xf>
    <xf numFmtId="0" fontId="5" fillId="14" borderId="171" xfId="0" applyFont="1" applyFill="1" applyBorder="1" applyAlignment="1" applyProtection="1">
      <alignment horizontal="center" vertical="center" textRotation="255"/>
    </xf>
    <xf numFmtId="0" fontId="5" fillId="14" borderId="18" xfId="0" applyFont="1" applyFill="1" applyBorder="1" applyAlignment="1" applyProtection="1">
      <alignment horizontal="center" vertical="center" textRotation="255"/>
    </xf>
    <xf numFmtId="0" fontId="5" fillId="14" borderId="170" xfId="0" applyFont="1" applyFill="1" applyBorder="1" applyAlignment="1" applyProtection="1">
      <alignment horizontal="center" vertical="center" textRotation="255"/>
    </xf>
    <xf numFmtId="0" fontId="16" fillId="0" borderId="122" xfId="0" applyNumberFormat="1" applyFont="1" applyFill="1" applyBorder="1" applyAlignment="1" applyProtection="1">
      <alignment vertical="center"/>
      <protection locked="0"/>
    </xf>
    <xf numFmtId="0" fontId="0" fillId="0" borderId="122" xfId="0" applyNumberFormat="1" applyBorder="1" applyAlignment="1" applyProtection="1">
      <alignment vertical="center"/>
      <protection locked="0"/>
    </xf>
    <xf numFmtId="0" fontId="0" fillId="0" borderId="104" xfId="0" applyNumberFormat="1" applyBorder="1" applyAlignment="1" applyProtection="1">
      <alignment vertical="center"/>
      <protection locked="0"/>
    </xf>
    <xf numFmtId="5" fontId="7" fillId="18" borderId="6" xfId="0" applyNumberFormat="1" applyFont="1" applyFill="1" applyBorder="1" applyAlignment="1" applyProtection="1">
      <alignment vertical="center"/>
    </xf>
    <xf numFmtId="5" fontId="7" fillId="18" borderId="0" xfId="0" applyNumberFormat="1" applyFont="1" applyFill="1" applyBorder="1" applyAlignment="1" applyProtection="1">
      <alignment vertical="center"/>
    </xf>
    <xf numFmtId="5" fontId="7" fillId="18" borderId="5" xfId="0" applyNumberFormat="1" applyFont="1" applyFill="1" applyBorder="1" applyAlignment="1" applyProtection="1">
      <alignment vertical="center"/>
    </xf>
    <xf numFmtId="0" fontId="14" fillId="14" borderId="0" xfId="0" applyFont="1" applyFill="1" applyBorder="1" applyAlignment="1" applyProtection="1">
      <alignment horizontal="center" vertical="center"/>
    </xf>
    <xf numFmtId="0" fontId="16" fillId="0" borderId="130" xfId="0" applyFont="1" applyBorder="1" applyAlignment="1" applyProtection="1">
      <alignment vertical="center"/>
      <protection locked="0"/>
    </xf>
    <xf numFmtId="0" fontId="0" fillId="0" borderId="130" xfId="0" applyBorder="1" applyAlignment="1" applyProtection="1">
      <alignment vertical="center"/>
      <protection locked="0"/>
    </xf>
    <xf numFmtId="0" fontId="16" fillId="0" borderId="0" xfId="0" applyFont="1" applyFill="1" applyBorder="1" applyAlignment="1" applyProtection="1">
      <alignment vertical="center"/>
      <protection locked="0"/>
    </xf>
    <xf numFmtId="0" fontId="0" fillId="0" borderId="5" xfId="0" applyFill="1" applyBorder="1" applyAlignment="1" applyProtection="1">
      <alignment vertical="center"/>
      <protection locked="0"/>
    </xf>
    <xf numFmtId="0" fontId="16" fillId="14" borderId="1" xfId="0" applyNumberFormat="1" applyFont="1" applyFill="1" applyBorder="1" applyAlignment="1" applyProtection="1">
      <alignment horizontal="center" vertical="center"/>
    </xf>
    <xf numFmtId="0" fontId="16" fillId="14" borderId="4" xfId="0" applyNumberFormat="1" applyFont="1" applyFill="1" applyBorder="1" applyAlignment="1" applyProtection="1">
      <alignment horizontal="center" vertical="center"/>
    </xf>
    <xf numFmtId="0" fontId="16" fillId="14" borderId="2" xfId="0" applyNumberFormat="1" applyFont="1" applyFill="1" applyBorder="1" applyAlignment="1" applyProtection="1">
      <alignment horizontal="center" vertical="center"/>
    </xf>
    <xf numFmtId="0" fontId="14" fillId="0" borderId="1" xfId="0" applyNumberFormat="1" applyFont="1" applyBorder="1" applyAlignment="1" applyProtection="1">
      <alignment horizontal="center" vertical="center"/>
    </xf>
    <xf numFmtId="0" fontId="14" fillId="0" borderId="4" xfId="0" applyNumberFormat="1" applyFont="1" applyBorder="1" applyAlignment="1" applyProtection="1">
      <alignment horizontal="center" vertical="center"/>
    </xf>
    <xf numFmtId="0" fontId="14" fillId="0" borderId="2" xfId="0" applyNumberFormat="1" applyFont="1" applyBorder="1" applyAlignment="1" applyProtection="1">
      <alignment horizontal="center" vertical="center"/>
    </xf>
    <xf numFmtId="0" fontId="16" fillId="14" borderId="169" xfId="0" applyFont="1" applyFill="1" applyBorder="1" applyAlignment="1" applyProtection="1">
      <alignment horizontal="center" vertical="center"/>
    </xf>
    <xf numFmtId="0" fontId="0" fillId="14" borderId="2" xfId="0" applyFill="1" applyBorder="1" applyAlignment="1" applyProtection="1">
      <alignment horizontal="center" vertical="center"/>
    </xf>
    <xf numFmtId="20" fontId="16" fillId="0" borderId="11" xfId="0" applyNumberFormat="1" applyFont="1" applyFill="1" applyBorder="1" applyAlignment="1" applyProtection="1">
      <alignment horizontal="left" vertical="center" shrinkToFit="1"/>
    </xf>
    <xf numFmtId="20" fontId="16" fillId="0" borderId="3" xfId="0" applyNumberFormat="1" applyFont="1" applyFill="1" applyBorder="1" applyAlignment="1" applyProtection="1">
      <alignment horizontal="left" vertical="center" shrinkToFit="1"/>
    </xf>
    <xf numFmtId="20" fontId="16" fillId="0" borderId="80" xfId="0" applyNumberFormat="1" applyFont="1" applyFill="1" applyBorder="1" applyAlignment="1" applyProtection="1">
      <alignment horizontal="left" vertical="center" shrinkToFit="1"/>
    </xf>
    <xf numFmtId="20" fontId="16" fillId="0" borderId="79" xfId="0" applyNumberFormat="1" applyFont="1" applyFill="1" applyBorder="1" applyAlignment="1" applyProtection="1">
      <alignment horizontal="left" vertical="center" shrinkToFit="1"/>
    </xf>
    <xf numFmtId="20" fontId="16" fillId="14" borderId="33" xfId="0" applyNumberFormat="1" applyFont="1" applyFill="1" applyBorder="1" applyAlignment="1" applyProtection="1">
      <alignment horizontal="center" vertical="center"/>
    </xf>
    <xf numFmtId="20" fontId="16" fillId="14" borderId="71" xfId="0" applyNumberFormat="1" applyFont="1" applyFill="1" applyBorder="1" applyAlignment="1" applyProtection="1">
      <alignment horizontal="center" vertical="center"/>
    </xf>
    <xf numFmtId="20" fontId="16" fillId="0" borderId="33" xfId="0" applyNumberFormat="1" applyFont="1" applyFill="1" applyBorder="1" applyAlignment="1" applyProtection="1">
      <alignment horizontal="left" vertical="center"/>
    </xf>
    <xf numFmtId="20" fontId="16" fillId="0" borderId="71" xfId="0" applyNumberFormat="1" applyFont="1" applyFill="1" applyBorder="1" applyAlignment="1" applyProtection="1">
      <alignment horizontal="left" vertical="center"/>
    </xf>
    <xf numFmtId="0" fontId="16" fillId="14" borderId="3" xfId="0" applyNumberFormat="1" applyFont="1" applyFill="1" applyBorder="1" applyAlignment="1" applyProtection="1">
      <alignment horizontal="center" vertical="center"/>
    </xf>
    <xf numFmtId="0" fontId="16" fillId="14" borderId="79" xfId="0" applyNumberFormat="1" applyFont="1" applyFill="1" applyBorder="1" applyAlignment="1" applyProtection="1">
      <alignment horizontal="center" vertical="center"/>
    </xf>
    <xf numFmtId="20" fontId="1" fillId="0" borderId="33" xfId="0" applyNumberFormat="1" applyFont="1" applyFill="1" applyBorder="1" applyAlignment="1" applyProtection="1">
      <alignment horizontal="left" vertical="center"/>
    </xf>
    <xf numFmtId="20" fontId="1" fillId="0" borderId="19" xfId="0" applyNumberFormat="1" applyFont="1" applyFill="1" applyBorder="1" applyAlignment="1" applyProtection="1">
      <alignment horizontal="left" vertical="center"/>
    </xf>
    <xf numFmtId="0" fontId="5" fillId="0" borderId="176" xfId="0" applyFont="1" applyBorder="1" applyAlignment="1" applyProtection="1">
      <protection locked="0"/>
    </xf>
    <xf numFmtId="0" fontId="0" fillId="0" borderId="156" xfId="0" applyBorder="1" applyAlignment="1" applyProtection="1">
      <protection locked="0"/>
    </xf>
    <xf numFmtId="0" fontId="5" fillId="0" borderId="177" xfId="0" applyFont="1" applyBorder="1" applyAlignment="1" applyProtection="1">
      <protection locked="0"/>
    </xf>
    <xf numFmtId="0" fontId="0" fillId="0" borderId="178" xfId="0" applyBorder="1" applyAlignment="1" applyProtection="1">
      <protection locked="0"/>
    </xf>
    <xf numFmtId="0" fontId="1" fillId="14" borderId="1" xfId="0" applyNumberFormat="1" applyFont="1" applyFill="1" applyBorder="1" applyAlignment="1" applyProtection="1">
      <alignment horizontal="center" vertical="center"/>
    </xf>
    <xf numFmtId="0" fontId="1" fillId="14" borderId="2" xfId="0" applyNumberFormat="1" applyFont="1" applyFill="1" applyBorder="1" applyAlignment="1" applyProtection="1">
      <alignment horizontal="center" vertical="center"/>
    </xf>
    <xf numFmtId="0" fontId="5" fillId="14" borderId="1" xfId="0" applyFont="1" applyFill="1" applyBorder="1" applyAlignment="1" applyProtection="1">
      <alignment horizontal="center"/>
    </xf>
    <xf numFmtId="0" fontId="5" fillId="14" borderId="2" xfId="0" applyFont="1" applyFill="1" applyBorder="1" applyAlignment="1" applyProtection="1">
      <alignment horizontal="center"/>
    </xf>
    <xf numFmtId="20" fontId="1" fillId="0" borderId="11" xfId="0" applyNumberFormat="1" applyFont="1" applyFill="1" applyBorder="1" applyAlignment="1" applyProtection="1">
      <alignment horizontal="left" vertical="center"/>
    </xf>
    <xf numFmtId="20" fontId="1" fillId="0" borderId="3" xfId="0" applyNumberFormat="1" applyFont="1" applyFill="1" applyBorder="1" applyAlignment="1" applyProtection="1">
      <alignment horizontal="left" vertical="center"/>
    </xf>
    <xf numFmtId="20" fontId="1" fillId="0" borderId="9" xfId="0" applyNumberFormat="1" applyFont="1" applyFill="1" applyBorder="1" applyAlignment="1" applyProtection="1">
      <alignment horizontal="left" vertical="center"/>
    </xf>
    <xf numFmtId="20" fontId="1" fillId="0" borderId="201" xfId="0" applyNumberFormat="1" applyFont="1" applyFill="1" applyBorder="1" applyAlignment="1" applyProtection="1">
      <alignment horizontal="left" vertical="center"/>
    </xf>
    <xf numFmtId="20" fontId="5" fillId="14" borderId="33" xfId="0" applyNumberFormat="1" applyFont="1" applyFill="1" applyBorder="1" applyAlignment="1" applyProtection="1">
      <alignment horizontal="center" vertical="center"/>
    </xf>
    <xf numFmtId="20" fontId="5" fillId="14" borderId="19" xfId="0" applyNumberFormat="1" applyFont="1" applyFill="1" applyBorder="1" applyAlignment="1" applyProtection="1">
      <alignment horizontal="center" vertical="center"/>
    </xf>
    <xf numFmtId="0" fontId="14" fillId="14" borderId="82" xfId="0" applyFont="1" applyFill="1" applyBorder="1" applyAlignment="1" applyProtection="1">
      <alignment vertical="center"/>
    </xf>
    <xf numFmtId="5" fontId="7" fillId="6" borderId="81" xfId="0" applyNumberFormat="1" applyFont="1" applyFill="1" applyBorder="1" applyAlignment="1" applyProtection="1">
      <alignment horizontal="center" vertical="center"/>
    </xf>
    <xf numFmtId="5" fontId="7" fillId="6" borderId="83" xfId="0" applyNumberFormat="1" applyFont="1" applyFill="1" applyBorder="1" applyAlignment="1" applyProtection="1">
      <alignment horizontal="center" vertical="center"/>
    </xf>
    <xf numFmtId="0" fontId="5" fillId="0" borderId="179" xfId="0" applyFont="1" applyBorder="1" applyAlignment="1" applyProtection="1">
      <protection locked="0"/>
    </xf>
    <xf numFmtId="0" fontId="0" fillId="0" borderId="180" xfId="0" applyBorder="1" applyAlignment="1" applyProtection="1">
      <protection locked="0"/>
    </xf>
    <xf numFmtId="0" fontId="5" fillId="14" borderId="33" xfId="0" applyNumberFormat="1" applyFont="1" applyFill="1" applyBorder="1" applyAlignment="1" applyProtection="1">
      <alignment horizontal="center" vertical="center"/>
    </xf>
    <xf numFmtId="0" fontId="5" fillId="14" borderId="19" xfId="0" applyNumberFormat="1" applyFont="1" applyFill="1" applyBorder="1" applyAlignment="1" applyProtection="1">
      <alignment horizontal="center" vertical="center"/>
    </xf>
  </cellXfs>
  <cellStyles count="1">
    <cellStyle name="標準" xfId="0" builtinId="0"/>
  </cellStyles>
  <dxfs count="13">
    <dxf>
      <fill>
        <patternFill patternType="lightGray">
          <fgColor indexed="13"/>
          <bgColor indexed="65"/>
        </patternFill>
      </fill>
    </dxf>
    <dxf>
      <border>
        <top style="dashDotDot">
          <color indexed="10"/>
        </top>
      </border>
    </dxf>
    <dxf>
      <font>
        <condense val="0"/>
        <extend val="0"/>
        <color auto="1"/>
      </font>
      <fill>
        <patternFill patternType="lightGray">
          <fgColor indexed="15"/>
          <bgColor indexed="65"/>
        </patternFill>
      </fill>
    </dxf>
    <dxf>
      <font>
        <condense val="0"/>
        <extend val="0"/>
        <color indexed="9"/>
      </font>
      <fill>
        <patternFill patternType="lightGray">
          <fgColor indexed="15"/>
          <bgColor indexed="65"/>
        </patternFill>
      </fill>
    </dxf>
    <dxf>
      <border>
        <top style="dashDotDot">
          <color indexed="10"/>
        </top>
      </border>
    </dxf>
    <dxf>
      <font>
        <condense val="0"/>
        <extend val="0"/>
        <color auto="1"/>
      </font>
      <fill>
        <patternFill patternType="lightGray">
          <fgColor indexed="15"/>
          <bgColor indexed="65"/>
        </patternFill>
      </fill>
    </dxf>
    <dxf>
      <font>
        <condense val="0"/>
        <extend val="0"/>
        <color indexed="9"/>
      </font>
    </dxf>
    <dxf>
      <font>
        <condense val="0"/>
        <extend val="0"/>
        <color indexed="9"/>
      </font>
    </dxf>
    <dxf>
      <font>
        <condense val="0"/>
        <extend val="0"/>
        <color indexed="10"/>
      </font>
      <fill>
        <patternFill patternType="mediumGray">
          <fgColor indexed="40"/>
          <bgColor indexed="65"/>
        </patternFill>
      </fill>
    </dxf>
    <dxf>
      <font>
        <condense val="0"/>
        <extend val="0"/>
        <color indexed="10"/>
      </font>
      <fill>
        <patternFill patternType="mediumGray">
          <fgColor indexed="40"/>
          <bgColor indexed="65"/>
        </patternFill>
      </fill>
    </dxf>
    <dxf>
      <font>
        <condense val="0"/>
        <extend val="0"/>
        <color indexed="10"/>
      </font>
      <fill>
        <patternFill patternType="mediumGray">
          <fgColor indexed="40"/>
          <bgColor indexed="65"/>
        </patternFill>
      </fill>
    </dxf>
    <dxf>
      <font>
        <condense val="0"/>
        <extend val="0"/>
        <color indexed="10"/>
      </font>
      <fill>
        <patternFill patternType="mediumGray">
          <fgColor indexed="40"/>
          <bgColor indexed="65"/>
        </patternFill>
      </fill>
    </dxf>
    <dxf>
      <font>
        <condense val="0"/>
        <extend val="0"/>
        <color indexed="10"/>
      </font>
      <fill>
        <patternFill patternType="mediumGray">
          <fgColor indexed="40"/>
          <bgColor indexed="65"/>
        </patternFill>
      </fill>
    </dxf>
  </dxfs>
  <tableStyles count="0" defaultTableStyle="TableStyleMedium2" defaultPivotStyle="PivotStyleLight16"/>
  <colors>
    <mruColors>
      <color rgb="FF333333"/>
      <color rgb="FFFFFF99"/>
      <color rgb="FFFFFFCC"/>
      <color rgb="FFCCFFCC"/>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13</xdr:col>
      <xdr:colOff>0</xdr:colOff>
      <xdr:row>13</xdr:row>
      <xdr:rowOff>0</xdr:rowOff>
    </xdr:from>
    <xdr:to>
      <xdr:col>19</xdr:col>
      <xdr:colOff>0</xdr:colOff>
      <xdr:row>14</xdr:row>
      <xdr:rowOff>0</xdr:rowOff>
    </xdr:to>
    <xdr:sp macro="" textlink="">
      <xdr:nvSpPr>
        <xdr:cNvPr id="1025" name="AutoShape 1">
          <a:extLst>
            <a:ext uri="{FF2B5EF4-FFF2-40B4-BE49-F238E27FC236}">
              <a16:creationId xmlns:a16="http://schemas.microsoft.com/office/drawing/2014/main" id="{00000000-0008-0000-0000-000001040000}"/>
            </a:ext>
          </a:extLst>
        </xdr:cNvPr>
        <xdr:cNvSpPr>
          <a:spLocks/>
        </xdr:cNvSpPr>
      </xdr:nvSpPr>
      <xdr:spPr bwMode="auto">
        <a:xfrm rot="-5400000">
          <a:off x="5314950" y="1495425"/>
          <a:ext cx="171450" cy="1543050"/>
        </a:xfrm>
        <a:prstGeom prst="leftBrace">
          <a:avLst>
            <a:gd name="adj1" fmla="val 75000"/>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37</xdr:col>
      <xdr:colOff>0</xdr:colOff>
      <xdr:row>13</xdr:row>
      <xdr:rowOff>0</xdr:rowOff>
    </xdr:from>
    <xdr:to>
      <xdr:col>43</xdr:col>
      <xdr:colOff>0</xdr:colOff>
      <xdr:row>14</xdr:row>
      <xdr:rowOff>0</xdr:rowOff>
    </xdr:to>
    <xdr:sp macro="" textlink="">
      <xdr:nvSpPr>
        <xdr:cNvPr id="1026" name="AutoShape 2">
          <a:extLst>
            <a:ext uri="{FF2B5EF4-FFF2-40B4-BE49-F238E27FC236}">
              <a16:creationId xmlns:a16="http://schemas.microsoft.com/office/drawing/2014/main" id="{00000000-0008-0000-0000-000002040000}"/>
            </a:ext>
          </a:extLst>
        </xdr:cNvPr>
        <xdr:cNvSpPr>
          <a:spLocks/>
        </xdr:cNvSpPr>
      </xdr:nvSpPr>
      <xdr:spPr bwMode="auto">
        <a:xfrm rot="-5400000">
          <a:off x="11487150" y="1495425"/>
          <a:ext cx="171450" cy="1543050"/>
        </a:xfrm>
        <a:prstGeom prst="leftBrace">
          <a:avLst>
            <a:gd name="adj1" fmla="val 75000"/>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30</xdr:col>
      <xdr:colOff>0</xdr:colOff>
      <xdr:row>19</xdr:row>
      <xdr:rowOff>47625</xdr:rowOff>
    </xdr:from>
    <xdr:to>
      <xdr:col>33</xdr:col>
      <xdr:colOff>0</xdr:colOff>
      <xdr:row>19</xdr:row>
      <xdr:rowOff>47625</xdr:rowOff>
    </xdr:to>
    <xdr:sp macro="" textlink="">
      <xdr:nvSpPr>
        <xdr:cNvPr id="1028" name="Line 4">
          <a:extLst>
            <a:ext uri="{FF2B5EF4-FFF2-40B4-BE49-F238E27FC236}">
              <a16:creationId xmlns:a16="http://schemas.microsoft.com/office/drawing/2014/main" id="{00000000-0008-0000-0000-000004040000}"/>
            </a:ext>
          </a:extLst>
        </xdr:cNvPr>
        <xdr:cNvSpPr>
          <a:spLocks noChangeShapeType="1"/>
        </xdr:cNvSpPr>
      </xdr:nvSpPr>
      <xdr:spPr bwMode="auto">
        <a:xfrm>
          <a:off x="9001125" y="3257550"/>
          <a:ext cx="7715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30</xdr:col>
      <xdr:colOff>0</xdr:colOff>
      <xdr:row>21</xdr:row>
      <xdr:rowOff>85725</xdr:rowOff>
    </xdr:from>
    <xdr:to>
      <xdr:col>32</xdr:col>
      <xdr:colOff>0</xdr:colOff>
      <xdr:row>21</xdr:row>
      <xdr:rowOff>85725</xdr:rowOff>
    </xdr:to>
    <xdr:sp macro="" textlink="">
      <xdr:nvSpPr>
        <xdr:cNvPr id="1029" name="Line 5">
          <a:extLst>
            <a:ext uri="{FF2B5EF4-FFF2-40B4-BE49-F238E27FC236}">
              <a16:creationId xmlns:a16="http://schemas.microsoft.com/office/drawing/2014/main" id="{00000000-0008-0000-0000-000005040000}"/>
            </a:ext>
          </a:extLst>
        </xdr:cNvPr>
        <xdr:cNvSpPr>
          <a:spLocks noChangeShapeType="1"/>
        </xdr:cNvSpPr>
      </xdr:nvSpPr>
      <xdr:spPr bwMode="auto">
        <a:xfrm>
          <a:off x="9001125" y="3638550"/>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0</xdr:colOff>
      <xdr:row>53</xdr:row>
      <xdr:rowOff>76200</xdr:rowOff>
    </xdr:from>
    <xdr:to>
      <xdr:col>19</xdr:col>
      <xdr:colOff>0</xdr:colOff>
      <xdr:row>53</xdr:row>
      <xdr:rowOff>76200</xdr:rowOff>
    </xdr:to>
    <xdr:sp macro="" textlink="">
      <xdr:nvSpPr>
        <xdr:cNvPr id="1030" name="Line 6">
          <a:extLst>
            <a:ext uri="{FF2B5EF4-FFF2-40B4-BE49-F238E27FC236}">
              <a16:creationId xmlns:a16="http://schemas.microsoft.com/office/drawing/2014/main" id="{00000000-0008-0000-0000-000006040000}"/>
            </a:ext>
          </a:extLst>
        </xdr:cNvPr>
        <xdr:cNvSpPr>
          <a:spLocks noChangeShapeType="1"/>
        </xdr:cNvSpPr>
      </xdr:nvSpPr>
      <xdr:spPr bwMode="auto">
        <a:xfrm>
          <a:off x="5657850" y="8896350"/>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0</xdr:colOff>
      <xdr:row>54</xdr:row>
      <xdr:rowOff>0</xdr:rowOff>
    </xdr:from>
    <xdr:to>
      <xdr:col>2</xdr:col>
      <xdr:colOff>0</xdr:colOff>
      <xdr:row>56</xdr:row>
      <xdr:rowOff>0</xdr:rowOff>
    </xdr:to>
    <xdr:sp macro="" textlink="">
      <xdr:nvSpPr>
        <xdr:cNvPr id="1031" name="Line 7">
          <a:extLst>
            <a:ext uri="{FF2B5EF4-FFF2-40B4-BE49-F238E27FC236}">
              <a16:creationId xmlns:a16="http://schemas.microsoft.com/office/drawing/2014/main" id="{00000000-0008-0000-0000-000007040000}"/>
            </a:ext>
          </a:extLst>
        </xdr:cNvPr>
        <xdr:cNvSpPr>
          <a:spLocks noChangeShapeType="1"/>
        </xdr:cNvSpPr>
      </xdr:nvSpPr>
      <xdr:spPr bwMode="auto">
        <a:xfrm>
          <a:off x="1371600" y="8991600"/>
          <a:ext cx="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0</xdr:colOff>
      <xdr:row>56</xdr:row>
      <xdr:rowOff>85725</xdr:rowOff>
    </xdr:from>
    <xdr:to>
      <xdr:col>7</xdr:col>
      <xdr:colOff>247650</xdr:colOff>
      <xdr:row>56</xdr:row>
      <xdr:rowOff>85725</xdr:rowOff>
    </xdr:to>
    <xdr:sp macro="" textlink="">
      <xdr:nvSpPr>
        <xdr:cNvPr id="1032" name="Line 8">
          <a:extLst>
            <a:ext uri="{FF2B5EF4-FFF2-40B4-BE49-F238E27FC236}">
              <a16:creationId xmlns:a16="http://schemas.microsoft.com/office/drawing/2014/main" id="{00000000-0008-0000-0000-000008040000}"/>
            </a:ext>
          </a:extLst>
        </xdr:cNvPr>
        <xdr:cNvSpPr>
          <a:spLocks noChangeShapeType="1"/>
        </xdr:cNvSpPr>
      </xdr:nvSpPr>
      <xdr:spPr bwMode="auto">
        <a:xfrm>
          <a:off x="2057400" y="9420225"/>
          <a:ext cx="1276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13</xdr:col>
      <xdr:colOff>0</xdr:colOff>
      <xdr:row>56</xdr:row>
      <xdr:rowOff>85725</xdr:rowOff>
    </xdr:from>
    <xdr:to>
      <xdr:col>16</xdr:col>
      <xdr:colOff>104775</xdr:colOff>
      <xdr:row>56</xdr:row>
      <xdr:rowOff>85725</xdr:rowOff>
    </xdr:to>
    <xdr:sp macro="" textlink="">
      <xdr:nvSpPr>
        <xdr:cNvPr id="1033" name="Line 9">
          <a:extLst>
            <a:ext uri="{FF2B5EF4-FFF2-40B4-BE49-F238E27FC236}">
              <a16:creationId xmlns:a16="http://schemas.microsoft.com/office/drawing/2014/main" id="{00000000-0008-0000-0000-000009040000}"/>
            </a:ext>
          </a:extLst>
        </xdr:cNvPr>
        <xdr:cNvSpPr>
          <a:spLocks noChangeShapeType="1"/>
        </xdr:cNvSpPr>
      </xdr:nvSpPr>
      <xdr:spPr bwMode="auto">
        <a:xfrm flipV="1">
          <a:off x="4629150" y="9420225"/>
          <a:ext cx="876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190500</xdr:colOff>
      <xdr:row>56</xdr:row>
      <xdr:rowOff>104775</xdr:rowOff>
    </xdr:from>
    <xdr:to>
      <xdr:col>14</xdr:col>
      <xdr:colOff>190500</xdr:colOff>
      <xdr:row>59</xdr:row>
      <xdr:rowOff>152400</xdr:rowOff>
    </xdr:to>
    <xdr:sp macro="" textlink="">
      <xdr:nvSpPr>
        <xdr:cNvPr id="1034" name="Line 10">
          <a:extLst>
            <a:ext uri="{FF2B5EF4-FFF2-40B4-BE49-F238E27FC236}">
              <a16:creationId xmlns:a16="http://schemas.microsoft.com/office/drawing/2014/main" id="{00000000-0008-0000-0000-00000A040000}"/>
            </a:ext>
          </a:extLst>
        </xdr:cNvPr>
        <xdr:cNvSpPr>
          <a:spLocks noChangeShapeType="1"/>
        </xdr:cNvSpPr>
      </xdr:nvSpPr>
      <xdr:spPr bwMode="auto">
        <a:xfrm>
          <a:off x="5076825" y="9439275"/>
          <a:ext cx="0" cy="561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24</xdr:col>
      <xdr:colOff>9525</xdr:colOff>
      <xdr:row>60</xdr:row>
      <xdr:rowOff>85725</xdr:rowOff>
    </xdr:from>
    <xdr:to>
      <xdr:col>26</xdr:col>
      <xdr:colOff>9525</xdr:colOff>
      <xdr:row>60</xdr:row>
      <xdr:rowOff>85725</xdr:rowOff>
    </xdr:to>
    <xdr:sp macro="" textlink="">
      <xdr:nvSpPr>
        <xdr:cNvPr id="1035" name="Line 11">
          <a:extLst>
            <a:ext uri="{FF2B5EF4-FFF2-40B4-BE49-F238E27FC236}">
              <a16:creationId xmlns:a16="http://schemas.microsoft.com/office/drawing/2014/main" id="{00000000-0008-0000-0000-00000B040000}"/>
            </a:ext>
          </a:extLst>
        </xdr:cNvPr>
        <xdr:cNvSpPr>
          <a:spLocks noChangeShapeType="1"/>
        </xdr:cNvSpPr>
      </xdr:nvSpPr>
      <xdr:spPr bwMode="auto">
        <a:xfrm>
          <a:off x="7467600" y="10106025"/>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24</xdr:col>
      <xdr:colOff>180975</xdr:colOff>
      <xdr:row>60</xdr:row>
      <xdr:rowOff>104775</xdr:rowOff>
    </xdr:from>
    <xdr:to>
      <xdr:col>24</xdr:col>
      <xdr:colOff>180975</xdr:colOff>
      <xdr:row>63</xdr:row>
      <xdr:rowOff>142875</xdr:rowOff>
    </xdr:to>
    <xdr:sp macro="" textlink="">
      <xdr:nvSpPr>
        <xdr:cNvPr id="1036" name="Line 12">
          <a:extLst>
            <a:ext uri="{FF2B5EF4-FFF2-40B4-BE49-F238E27FC236}">
              <a16:creationId xmlns:a16="http://schemas.microsoft.com/office/drawing/2014/main" id="{00000000-0008-0000-0000-00000C040000}"/>
            </a:ext>
          </a:extLst>
        </xdr:cNvPr>
        <xdr:cNvSpPr>
          <a:spLocks noChangeShapeType="1"/>
        </xdr:cNvSpPr>
      </xdr:nvSpPr>
      <xdr:spPr bwMode="auto">
        <a:xfrm>
          <a:off x="7639050" y="10125075"/>
          <a:ext cx="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0</xdr:colOff>
      <xdr:row>57</xdr:row>
      <xdr:rowOff>0</xdr:rowOff>
    </xdr:from>
    <xdr:to>
      <xdr:col>2</xdr:col>
      <xdr:colOff>0</xdr:colOff>
      <xdr:row>66</xdr:row>
      <xdr:rowOff>133350</xdr:rowOff>
    </xdr:to>
    <xdr:sp macro="" textlink="">
      <xdr:nvSpPr>
        <xdr:cNvPr id="1037" name="Line 13">
          <a:extLst>
            <a:ext uri="{FF2B5EF4-FFF2-40B4-BE49-F238E27FC236}">
              <a16:creationId xmlns:a16="http://schemas.microsoft.com/office/drawing/2014/main" id="{00000000-0008-0000-0000-00000D040000}"/>
            </a:ext>
          </a:extLst>
        </xdr:cNvPr>
        <xdr:cNvSpPr>
          <a:spLocks noChangeShapeType="1"/>
        </xdr:cNvSpPr>
      </xdr:nvSpPr>
      <xdr:spPr bwMode="auto">
        <a:xfrm>
          <a:off x="1371600" y="9505950"/>
          <a:ext cx="0" cy="1676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0</xdr:colOff>
      <xdr:row>67</xdr:row>
      <xdr:rowOff>85725</xdr:rowOff>
    </xdr:from>
    <xdr:to>
      <xdr:col>13</xdr:col>
      <xdr:colOff>247650</xdr:colOff>
      <xdr:row>67</xdr:row>
      <xdr:rowOff>85725</xdr:rowOff>
    </xdr:to>
    <xdr:sp macro="" textlink="">
      <xdr:nvSpPr>
        <xdr:cNvPr id="1038" name="Line 14">
          <a:extLst>
            <a:ext uri="{FF2B5EF4-FFF2-40B4-BE49-F238E27FC236}">
              <a16:creationId xmlns:a16="http://schemas.microsoft.com/office/drawing/2014/main" id="{00000000-0008-0000-0000-00000E040000}"/>
            </a:ext>
          </a:extLst>
        </xdr:cNvPr>
        <xdr:cNvSpPr>
          <a:spLocks noChangeShapeType="1"/>
        </xdr:cNvSpPr>
      </xdr:nvSpPr>
      <xdr:spPr bwMode="auto">
        <a:xfrm>
          <a:off x="3600450" y="11306175"/>
          <a:ext cx="1276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0</xdr:colOff>
      <xdr:row>68</xdr:row>
      <xdr:rowOff>0</xdr:rowOff>
    </xdr:from>
    <xdr:to>
      <xdr:col>2</xdr:col>
      <xdr:colOff>0</xdr:colOff>
      <xdr:row>70</xdr:row>
      <xdr:rowOff>0</xdr:rowOff>
    </xdr:to>
    <xdr:sp macro="" textlink="">
      <xdr:nvSpPr>
        <xdr:cNvPr id="1040" name="Line 16">
          <a:extLst>
            <a:ext uri="{FF2B5EF4-FFF2-40B4-BE49-F238E27FC236}">
              <a16:creationId xmlns:a16="http://schemas.microsoft.com/office/drawing/2014/main" id="{00000000-0008-0000-0000-000010040000}"/>
            </a:ext>
          </a:extLst>
        </xdr:cNvPr>
        <xdr:cNvSpPr>
          <a:spLocks noChangeShapeType="1"/>
        </xdr:cNvSpPr>
      </xdr:nvSpPr>
      <xdr:spPr bwMode="auto">
        <a:xfrm>
          <a:off x="1371600" y="11391900"/>
          <a:ext cx="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2</xdr:row>
      <xdr:rowOff>0</xdr:rowOff>
    </xdr:from>
    <xdr:to>
      <xdr:col>5</xdr:col>
      <xdr:colOff>0</xdr:colOff>
      <xdr:row>7</xdr:row>
      <xdr:rowOff>0</xdr:rowOff>
    </xdr:to>
    <xdr:sp macro="" textlink="">
      <xdr:nvSpPr>
        <xdr:cNvPr id="9217" name="AutoShape 1">
          <a:extLst>
            <a:ext uri="{FF2B5EF4-FFF2-40B4-BE49-F238E27FC236}">
              <a16:creationId xmlns:a16="http://schemas.microsoft.com/office/drawing/2014/main" id="{00000000-0008-0000-0100-000001240000}"/>
            </a:ext>
          </a:extLst>
        </xdr:cNvPr>
        <xdr:cNvSpPr>
          <a:spLocks/>
        </xdr:cNvSpPr>
      </xdr:nvSpPr>
      <xdr:spPr bwMode="auto">
        <a:xfrm>
          <a:off x="1428750" y="457200"/>
          <a:ext cx="200025" cy="1143000"/>
        </a:xfrm>
        <a:prstGeom prst="leftBrace">
          <a:avLst>
            <a:gd name="adj1" fmla="val 19048"/>
            <a:gd name="adj2" fmla="val 16667"/>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7</xdr:col>
      <xdr:colOff>0</xdr:colOff>
      <xdr:row>3</xdr:row>
      <xdr:rowOff>0</xdr:rowOff>
    </xdr:from>
    <xdr:to>
      <xdr:col>9</xdr:col>
      <xdr:colOff>0</xdr:colOff>
      <xdr:row>3</xdr:row>
      <xdr:rowOff>0</xdr:rowOff>
    </xdr:to>
    <xdr:sp macro="" textlink="">
      <xdr:nvSpPr>
        <xdr:cNvPr id="9218" name="Line 2">
          <a:extLst>
            <a:ext uri="{FF2B5EF4-FFF2-40B4-BE49-F238E27FC236}">
              <a16:creationId xmlns:a16="http://schemas.microsoft.com/office/drawing/2014/main" id="{00000000-0008-0000-0100-000002240000}"/>
            </a:ext>
          </a:extLst>
        </xdr:cNvPr>
        <xdr:cNvSpPr>
          <a:spLocks noChangeShapeType="1"/>
        </xdr:cNvSpPr>
      </xdr:nvSpPr>
      <xdr:spPr bwMode="auto">
        <a:xfrm>
          <a:off x="2895600" y="685800"/>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0</xdr:colOff>
      <xdr:row>3</xdr:row>
      <xdr:rowOff>0</xdr:rowOff>
    </xdr:from>
    <xdr:to>
      <xdr:col>9</xdr:col>
      <xdr:colOff>0</xdr:colOff>
      <xdr:row>6</xdr:row>
      <xdr:rowOff>0</xdr:rowOff>
    </xdr:to>
    <xdr:sp macro="" textlink="">
      <xdr:nvSpPr>
        <xdr:cNvPr id="9219" name="Freeform 3">
          <a:extLst>
            <a:ext uri="{FF2B5EF4-FFF2-40B4-BE49-F238E27FC236}">
              <a16:creationId xmlns:a16="http://schemas.microsoft.com/office/drawing/2014/main" id="{00000000-0008-0000-0100-000003240000}"/>
            </a:ext>
          </a:extLst>
        </xdr:cNvPr>
        <xdr:cNvSpPr>
          <a:spLocks/>
        </xdr:cNvSpPr>
      </xdr:nvSpPr>
      <xdr:spPr bwMode="auto">
        <a:xfrm>
          <a:off x="3152775" y="685800"/>
          <a:ext cx="257175"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12</xdr:col>
      <xdr:colOff>28575</xdr:colOff>
      <xdr:row>5</xdr:row>
      <xdr:rowOff>0</xdr:rowOff>
    </xdr:from>
    <xdr:to>
      <xdr:col>13</xdr:col>
      <xdr:colOff>0</xdr:colOff>
      <xdr:row>17</xdr:row>
      <xdr:rowOff>0</xdr:rowOff>
    </xdr:to>
    <xdr:sp macro="" textlink="">
      <xdr:nvSpPr>
        <xdr:cNvPr id="9220" name="AutoShape 4">
          <a:extLst>
            <a:ext uri="{FF2B5EF4-FFF2-40B4-BE49-F238E27FC236}">
              <a16:creationId xmlns:a16="http://schemas.microsoft.com/office/drawing/2014/main" id="{00000000-0008-0000-0100-000004240000}"/>
            </a:ext>
          </a:extLst>
        </xdr:cNvPr>
        <xdr:cNvSpPr>
          <a:spLocks/>
        </xdr:cNvSpPr>
      </xdr:nvSpPr>
      <xdr:spPr bwMode="auto">
        <a:xfrm>
          <a:off x="4152900" y="1143000"/>
          <a:ext cx="190500" cy="2743200"/>
        </a:xfrm>
        <a:prstGeom prst="leftBrace">
          <a:avLst>
            <a:gd name="adj1" fmla="val 66667"/>
            <a:gd name="adj2" fmla="val 9259"/>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10</xdr:col>
      <xdr:colOff>0</xdr:colOff>
      <xdr:row>3</xdr:row>
      <xdr:rowOff>0</xdr:rowOff>
    </xdr:from>
    <xdr:to>
      <xdr:col>18</xdr:col>
      <xdr:colOff>0</xdr:colOff>
      <xdr:row>3</xdr:row>
      <xdr:rowOff>0</xdr:rowOff>
    </xdr:to>
    <xdr:sp macro="" textlink="">
      <xdr:nvSpPr>
        <xdr:cNvPr id="9221" name="Line 5">
          <a:extLst>
            <a:ext uri="{FF2B5EF4-FFF2-40B4-BE49-F238E27FC236}">
              <a16:creationId xmlns:a16="http://schemas.microsoft.com/office/drawing/2014/main" id="{00000000-0008-0000-0100-000005240000}"/>
            </a:ext>
          </a:extLst>
        </xdr:cNvPr>
        <xdr:cNvSpPr>
          <a:spLocks noChangeShapeType="1"/>
        </xdr:cNvSpPr>
      </xdr:nvSpPr>
      <xdr:spPr bwMode="auto">
        <a:xfrm>
          <a:off x="3638550" y="685800"/>
          <a:ext cx="22669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0</xdr:colOff>
      <xdr:row>6</xdr:row>
      <xdr:rowOff>0</xdr:rowOff>
    </xdr:from>
    <xdr:to>
      <xdr:col>29</xdr:col>
      <xdr:colOff>0</xdr:colOff>
      <xdr:row>12</xdr:row>
      <xdr:rowOff>0</xdr:rowOff>
    </xdr:to>
    <xdr:sp macro="" textlink="">
      <xdr:nvSpPr>
        <xdr:cNvPr id="9222" name="Freeform 6">
          <a:extLst>
            <a:ext uri="{FF2B5EF4-FFF2-40B4-BE49-F238E27FC236}">
              <a16:creationId xmlns:a16="http://schemas.microsoft.com/office/drawing/2014/main" id="{00000000-0008-0000-0100-000006240000}"/>
            </a:ext>
          </a:extLst>
        </xdr:cNvPr>
        <xdr:cNvSpPr>
          <a:spLocks/>
        </xdr:cNvSpPr>
      </xdr:nvSpPr>
      <xdr:spPr bwMode="auto">
        <a:xfrm>
          <a:off x="9801225" y="1371600"/>
          <a:ext cx="257175" cy="13716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20</xdr:col>
      <xdr:colOff>0</xdr:colOff>
      <xdr:row>7</xdr:row>
      <xdr:rowOff>0</xdr:rowOff>
    </xdr:from>
    <xdr:to>
      <xdr:col>21</xdr:col>
      <xdr:colOff>0</xdr:colOff>
      <xdr:row>7</xdr:row>
      <xdr:rowOff>123825</xdr:rowOff>
    </xdr:to>
    <xdr:sp macro="" textlink="">
      <xdr:nvSpPr>
        <xdr:cNvPr id="9223" name="AutoShape 7">
          <a:extLst>
            <a:ext uri="{FF2B5EF4-FFF2-40B4-BE49-F238E27FC236}">
              <a16:creationId xmlns:a16="http://schemas.microsoft.com/office/drawing/2014/main" id="{00000000-0008-0000-0100-000007240000}"/>
            </a:ext>
          </a:extLst>
        </xdr:cNvPr>
        <xdr:cNvSpPr>
          <a:spLocks/>
        </xdr:cNvSpPr>
      </xdr:nvSpPr>
      <xdr:spPr bwMode="auto">
        <a:xfrm rot="-5400000">
          <a:off x="6538912" y="1319213"/>
          <a:ext cx="123825" cy="685800"/>
        </a:xfrm>
        <a:prstGeom prst="leftBrace">
          <a:avLst>
            <a:gd name="adj1" fmla="val 46154"/>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21</xdr:col>
      <xdr:colOff>0</xdr:colOff>
      <xdr:row>6</xdr:row>
      <xdr:rowOff>0</xdr:rowOff>
    </xdr:from>
    <xdr:to>
      <xdr:col>23</xdr:col>
      <xdr:colOff>0</xdr:colOff>
      <xdr:row>6</xdr:row>
      <xdr:rowOff>0</xdr:rowOff>
    </xdr:to>
    <xdr:sp macro="" textlink="">
      <xdr:nvSpPr>
        <xdr:cNvPr id="9224" name="Line 8">
          <a:extLst>
            <a:ext uri="{FF2B5EF4-FFF2-40B4-BE49-F238E27FC236}">
              <a16:creationId xmlns:a16="http://schemas.microsoft.com/office/drawing/2014/main" id="{00000000-0008-0000-0100-000008240000}"/>
            </a:ext>
          </a:extLst>
        </xdr:cNvPr>
        <xdr:cNvSpPr>
          <a:spLocks noChangeShapeType="1"/>
        </xdr:cNvSpPr>
      </xdr:nvSpPr>
      <xdr:spPr bwMode="auto">
        <a:xfrm>
          <a:off x="6943725" y="1371600"/>
          <a:ext cx="647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0</xdr:colOff>
      <xdr:row>6</xdr:row>
      <xdr:rowOff>0</xdr:rowOff>
    </xdr:from>
    <xdr:to>
      <xdr:col>23</xdr:col>
      <xdr:colOff>0</xdr:colOff>
      <xdr:row>20</xdr:row>
      <xdr:rowOff>0</xdr:rowOff>
    </xdr:to>
    <xdr:sp macro="" textlink="">
      <xdr:nvSpPr>
        <xdr:cNvPr id="9225" name="Freeform 9">
          <a:extLst>
            <a:ext uri="{FF2B5EF4-FFF2-40B4-BE49-F238E27FC236}">
              <a16:creationId xmlns:a16="http://schemas.microsoft.com/office/drawing/2014/main" id="{00000000-0008-0000-0100-000009240000}"/>
            </a:ext>
          </a:extLst>
        </xdr:cNvPr>
        <xdr:cNvSpPr>
          <a:spLocks/>
        </xdr:cNvSpPr>
      </xdr:nvSpPr>
      <xdr:spPr bwMode="auto">
        <a:xfrm>
          <a:off x="7267575" y="1371600"/>
          <a:ext cx="323850" cy="32004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27</xdr:col>
      <xdr:colOff>0</xdr:colOff>
      <xdr:row>6</xdr:row>
      <xdr:rowOff>0</xdr:rowOff>
    </xdr:from>
    <xdr:to>
      <xdr:col>29</xdr:col>
      <xdr:colOff>0</xdr:colOff>
      <xdr:row>6</xdr:row>
      <xdr:rowOff>0</xdr:rowOff>
    </xdr:to>
    <xdr:sp macro="" textlink="">
      <xdr:nvSpPr>
        <xdr:cNvPr id="9226" name="Line 10">
          <a:extLst>
            <a:ext uri="{FF2B5EF4-FFF2-40B4-BE49-F238E27FC236}">
              <a16:creationId xmlns:a16="http://schemas.microsoft.com/office/drawing/2014/main" id="{00000000-0008-0000-0100-00000A240000}"/>
            </a:ext>
          </a:extLst>
        </xdr:cNvPr>
        <xdr:cNvSpPr>
          <a:spLocks noChangeShapeType="1"/>
        </xdr:cNvSpPr>
      </xdr:nvSpPr>
      <xdr:spPr bwMode="auto">
        <a:xfrm>
          <a:off x="9544050" y="1371600"/>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25</xdr:col>
      <xdr:colOff>209550</xdr:colOff>
      <xdr:row>1</xdr:row>
      <xdr:rowOff>0</xdr:rowOff>
    </xdr:from>
    <xdr:to>
      <xdr:col>32</xdr:col>
      <xdr:colOff>190500</xdr:colOff>
      <xdr:row>5</xdr:row>
      <xdr:rowOff>76200</xdr:rowOff>
    </xdr:to>
    <xdr:sp macro="" textlink="">
      <xdr:nvSpPr>
        <xdr:cNvPr id="9227" name="Freeform 11">
          <a:extLst>
            <a:ext uri="{FF2B5EF4-FFF2-40B4-BE49-F238E27FC236}">
              <a16:creationId xmlns:a16="http://schemas.microsoft.com/office/drawing/2014/main" id="{00000000-0008-0000-0100-00000B240000}"/>
            </a:ext>
          </a:extLst>
        </xdr:cNvPr>
        <xdr:cNvSpPr>
          <a:spLocks/>
        </xdr:cNvSpPr>
      </xdr:nvSpPr>
      <xdr:spPr bwMode="auto">
        <a:xfrm>
          <a:off x="8134350" y="228600"/>
          <a:ext cx="4133850" cy="990600"/>
        </a:xfrm>
        <a:custGeom>
          <a:avLst/>
          <a:gdLst>
            <a:gd name="T0" fmla="*/ 276 w 276"/>
            <a:gd name="T1" fmla="*/ 0 h 80"/>
            <a:gd name="T2" fmla="*/ 0 w 276"/>
            <a:gd name="T3" fmla="*/ 0 h 80"/>
            <a:gd name="T4" fmla="*/ 0 w 276"/>
            <a:gd name="T5" fmla="*/ 80 h 80"/>
          </a:gdLst>
          <a:ahLst/>
          <a:cxnLst>
            <a:cxn ang="0">
              <a:pos x="T0" y="T1"/>
            </a:cxn>
            <a:cxn ang="0">
              <a:pos x="T2" y="T3"/>
            </a:cxn>
            <a:cxn ang="0">
              <a:pos x="T4" y="T5"/>
            </a:cxn>
          </a:cxnLst>
          <a:rect l="0" t="0" r="r" b="b"/>
          <a:pathLst>
            <a:path w="276" h="80">
              <a:moveTo>
                <a:pt x="276" y="0"/>
              </a:moveTo>
              <a:lnTo>
                <a:pt x="0" y="0"/>
              </a:lnTo>
              <a:lnTo>
                <a:pt x="0" y="80"/>
              </a:lnTo>
            </a:path>
          </a:pathLst>
        </a:custGeom>
        <a:noFill/>
        <a:ln w="22225" cap="flat" cmpd="sng">
          <a:solidFill>
            <a:srgbClr xmlns:mc="http://schemas.openxmlformats.org/markup-compatibility/2006" xmlns:a14="http://schemas.microsoft.com/office/drawing/2010/main" val="FF0000" mc:Ignorable="a14" a14:legacySpreadsheetColorIndex="10"/>
          </a:solidFill>
          <a:prstDash val="solid"/>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29</xdr:col>
      <xdr:colOff>0</xdr:colOff>
      <xdr:row>7</xdr:row>
      <xdr:rowOff>0</xdr:rowOff>
    </xdr:from>
    <xdr:to>
      <xdr:col>30</xdr:col>
      <xdr:colOff>0</xdr:colOff>
      <xdr:row>7</xdr:row>
      <xdr:rowOff>123825</xdr:rowOff>
    </xdr:to>
    <xdr:sp macro="" textlink="">
      <xdr:nvSpPr>
        <xdr:cNvPr id="9228" name="AutoShape 12">
          <a:extLst>
            <a:ext uri="{FF2B5EF4-FFF2-40B4-BE49-F238E27FC236}">
              <a16:creationId xmlns:a16="http://schemas.microsoft.com/office/drawing/2014/main" id="{00000000-0008-0000-0100-00000C240000}"/>
            </a:ext>
          </a:extLst>
        </xdr:cNvPr>
        <xdr:cNvSpPr>
          <a:spLocks/>
        </xdr:cNvSpPr>
      </xdr:nvSpPr>
      <xdr:spPr bwMode="auto">
        <a:xfrm rot="-5400000">
          <a:off x="10339387" y="1319213"/>
          <a:ext cx="123825" cy="685800"/>
        </a:xfrm>
        <a:prstGeom prst="leftBrace">
          <a:avLst>
            <a:gd name="adj1" fmla="val 46154"/>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37</xdr:col>
      <xdr:colOff>0</xdr:colOff>
      <xdr:row>13</xdr:row>
      <xdr:rowOff>0</xdr:rowOff>
    </xdr:from>
    <xdr:to>
      <xdr:col>38</xdr:col>
      <xdr:colOff>0</xdr:colOff>
      <xdr:row>13</xdr:row>
      <xdr:rowOff>123825</xdr:rowOff>
    </xdr:to>
    <xdr:sp macro="" textlink="">
      <xdr:nvSpPr>
        <xdr:cNvPr id="9229" name="AutoShape 13">
          <a:extLst>
            <a:ext uri="{FF2B5EF4-FFF2-40B4-BE49-F238E27FC236}">
              <a16:creationId xmlns:a16="http://schemas.microsoft.com/office/drawing/2014/main" id="{00000000-0008-0000-0100-00000D240000}"/>
            </a:ext>
          </a:extLst>
        </xdr:cNvPr>
        <xdr:cNvSpPr>
          <a:spLocks/>
        </xdr:cNvSpPr>
      </xdr:nvSpPr>
      <xdr:spPr bwMode="auto">
        <a:xfrm rot="-5400000">
          <a:off x="13877925" y="2533650"/>
          <a:ext cx="123825" cy="1000125"/>
        </a:xfrm>
        <a:prstGeom prst="leftBrace">
          <a:avLst>
            <a:gd name="adj1" fmla="val 67308"/>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38</xdr:col>
      <xdr:colOff>0</xdr:colOff>
      <xdr:row>12</xdr:row>
      <xdr:rowOff>0</xdr:rowOff>
    </xdr:from>
    <xdr:to>
      <xdr:col>40</xdr:col>
      <xdr:colOff>0</xdr:colOff>
      <xdr:row>12</xdr:row>
      <xdr:rowOff>0</xdr:rowOff>
    </xdr:to>
    <xdr:sp macro="" textlink="">
      <xdr:nvSpPr>
        <xdr:cNvPr id="9230" name="Line 14">
          <a:extLst>
            <a:ext uri="{FF2B5EF4-FFF2-40B4-BE49-F238E27FC236}">
              <a16:creationId xmlns:a16="http://schemas.microsoft.com/office/drawing/2014/main" id="{00000000-0008-0000-0100-00000E240000}"/>
            </a:ext>
          </a:extLst>
        </xdr:cNvPr>
        <xdr:cNvSpPr>
          <a:spLocks noChangeShapeType="1"/>
        </xdr:cNvSpPr>
      </xdr:nvSpPr>
      <xdr:spPr bwMode="auto">
        <a:xfrm>
          <a:off x="14439900" y="2743200"/>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39</xdr:col>
      <xdr:colOff>0</xdr:colOff>
      <xdr:row>12</xdr:row>
      <xdr:rowOff>0</xdr:rowOff>
    </xdr:from>
    <xdr:to>
      <xdr:col>40</xdr:col>
      <xdr:colOff>0</xdr:colOff>
      <xdr:row>15</xdr:row>
      <xdr:rowOff>0</xdr:rowOff>
    </xdr:to>
    <xdr:sp macro="" textlink="">
      <xdr:nvSpPr>
        <xdr:cNvPr id="9231" name="Freeform 15">
          <a:extLst>
            <a:ext uri="{FF2B5EF4-FFF2-40B4-BE49-F238E27FC236}">
              <a16:creationId xmlns:a16="http://schemas.microsoft.com/office/drawing/2014/main" id="{00000000-0008-0000-0100-00000F240000}"/>
            </a:ext>
          </a:extLst>
        </xdr:cNvPr>
        <xdr:cNvSpPr>
          <a:spLocks/>
        </xdr:cNvSpPr>
      </xdr:nvSpPr>
      <xdr:spPr bwMode="auto">
        <a:xfrm>
          <a:off x="15125700" y="2743200"/>
          <a:ext cx="685800"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26</xdr:col>
      <xdr:colOff>57150</xdr:colOff>
      <xdr:row>18</xdr:row>
      <xdr:rowOff>161925</xdr:rowOff>
    </xdr:from>
    <xdr:to>
      <xdr:col>26</xdr:col>
      <xdr:colOff>1104900</xdr:colOff>
      <xdr:row>21</xdr:row>
      <xdr:rowOff>0</xdr:rowOff>
    </xdr:to>
    <xdr:sp macro="" textlink="">
      <xdr:nvSpPr>
        <xdr:cNvPr id="9232" name="AutoShape 16">
          <a:extLst>
            <a:ext uri="{FF2B5EF4-FFF2-40B4-BE49-F238E27FC236}">
              <a16:creationId xmlns:a16="http://schemas.microsoft.com/office/drawing/2014/main" id="{00000000-0008-0000-0100-000010240000}"/>
            </a:ext>
          </a:extLst>
        </xdr:cNvPr>
        <xdr:cNvSpPr>
          <a:spLocks noChangeArrowheads="1"/>
        </xdr:cNvSpPr>
      </xdr:nvSpPr>
      <xdr:spPr bwMode="auto">
        <a:xfrm>
          <a:off x="8410575" y="4276725"/>
          <a:ext cx="1047750" cy="523875"/>
        </a:xfrm>
        <a:prstGeom prst="bracketPair">
          <a:avLst>
            <a:gd name="adj" fmla="val 16667"/>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26</xdr:col>
      <xdr:colOff>514350</xdr:colOff>
      <xdr:row>21</xdr:row>
      <xdr:rowOff>0</xdr:rowOff>
    </xdr:from>
    <xdr:to>
      <xdr:col>26</xdr:col>
      <xdr:colOff>514350</xdr:colOff>
      <xdr:row>24</xdr:row>
      <xdr:rowOff>0</xdr:rowOff>
    </xdr:to>
    <xdr:sp macro="" textlink="">
      <xdr:nvSpPr>
        <xdr:cNvPr id="9233" name="Line 17">
          <a:extLst>
            <a:ext uri="{FF2B5EF4-FFF2-40B4-BE49-F238E27FC236}">
              <a16:creationId xmlns:a16="http://schemas.microsoft.com/office/drawing/2014/main" id="{00000000-0008-0000-0100-000011240000}"/>
            </a:ext>
          </a:extLst>
        </xdr:cNvPr>
        <xdr:cNvSpPr>
          <a:spLocks noChangeShapeType="1"/>
        </xdr:cNvSpPr>
      </xdr:nvSpPr>
      <xdr:spPr bwMode="auto">
        <a:xfrm>
          <a:off x="8867775" y="4800600"/>
          <a:ext cx="0" cy="685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23</xdr:col>
      <xdr:colOff>133350</xdr:colOff>
      <xdr:row>21</xdr:row>
      <xdr:rowOff>0</xdr:rowOff>
    </xdr:from>
    <xdr:to>
      <xdr:col>23</xdr:col>
      <xdr:colOff>133350</xdr:colOff>
      <xdr:row>32</xdr:row>
      <xdr:rowOff>0</xdr:rowOff>
    </xdr:to>
    <xdr:sp macro="" textlink="">
      <xdr:nvSpPr>
        <xdr:cNvPr id="9234" name="Line 18">
          <a:extLst>
            <a:ext uri="{FF2B5EF4-FFF2-40B4-BE49-F238E27FC236}">
              <a16:creationId xmlns:a16="http://schemas.microsoft.com/office/drawing/2014/main" id="{00000000-0008-0000-0100-000012240000}"/>
            </a:ext>
          </a:extLst>
        </xdr:cNvPr>
        <xdr:cNvSpPr>
          <a:spLocks noChangeShapeType="1"/>
        </xdr:cNvSpPr>
      </xdr:nvSpPr>
      <xdr:spPr bwMode="auto">
        <a:xfrm>
          <a:off x="7724775" y="4800600"/>
          <a:ext cx="0" cy="2514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26</xdr:col>
      <xdr:colOff>0</xdr:colOff>
      <xdr:row>33</xdr:row>
      <xdr:rowOff>0</xdr:rowOff>
    </xdr:from>
    <xdr:to>
      <xdr:col>29</xdr:col>
      <xdr:colOff>0</xdr:colOff>
      <xdr:row>33</xdr:row>
      <xdr:rowOff>0</xdr:rowOff>
    </xdr:to>
    <xdr:sp macro="" textlink="">
      <xdr:nvSpPr>
        <xdr:cNvPr id="9235" name="Line 19">
          <a:extLst>
            <a:ext uri="{FF2B5EF4-FFF2-40B4-BE49-F238E27FC236}">
              <a16:creationId xmlns:a16="http://schemas.microsoft.com/office/drawing/2014/main" id="{00000000-0008-0000-0100-000013240000}"/>
            </a:ext>
          </a:extLst>
        </xdr:cNvPr>
        <xdr:cNvSpPr>
          <a:spLocks noChangeShapeType="1"/>
        </xdr:cNvSpPr>
      </xdr:nvSpPr>
      <xdr:spPr bwMode="auto">
        <a:xfrm flipV="1">
          <a:off x="8353425" y="7543800"/>
          <a:ext cx="1704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27</xdr:col>
      <xdr:colOff>0</xdr:colOff>
      <xdr:row>33</xdr:row>
      <xdr:rowOff>0</xdr:rowOff>
    </xdr:from>
    <xdr:to>
      <xdr:col>29</xdr:col>
      <xdr:colOff>0</xdr:colOff>
      <xdr:row>35</xdr:row>
      <xdr:rowOff>0</xdr:rowOff>
    </xdr:to>
    <xdr:sp macro="" textlink="">
      <xdr:nvSpPr>
        <xdr:cNvPr id="9236" name="Freeform 20">
          <a:extLst>
            <a:ext uri="{FF2B5EF4-FFF2-40B4-BE49-F238E27FC236}">
              <a16:creationId xmlns:a16="http://schemas.microsoft.com/office/drawing/2014/main" id="{00000000-0008-0000-0100-000014240000}"/>
            </a:ext>
          </a:extLst>
        </xdr:cNvPr>
        <xdr:cNvSpPr>
          <a:spLocks/>
        </xdr:cNvSpPr>
      </xdr:nvSpPr>
      <xdr:spPr bwMode="auto">
        <a:xfrm>
          <a:off x="9544050" y="7543800"/>
          <a:ext cx="514350" cy="4572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27</xdr:col>
      <xdr:colOff>0</xdr:colOff>
      <xdr:row>20</xdr:row>
      <xdr:rowOff>0</xdr:rowOff>
    </xdr:from>
    <xdr:to>
      <xdr:col>29</xdr:col>
      <xdr:colOff>0</xdr:colOff>
      <xdr:row>20</xdr:row>
      <xdr:rowOff>0</xdr:rowOff>
    </xdr:to>
    <xdr:sp macro="" textlink="">
      <xdr:nvSpPr>
        <xdr:cNvPr id="9237" name="Line 21">
          <a:extLst>
            <a:ext uri="{FF2B5EF4-FFF2-40B4-BE49-F238E27FC236}">
              <a16:creationId xmlns:a16="http://schemas.microsoft.com/office/drawing/2014/main" id="{00000000-0008-0000-0100-000015240000}"/>
            </a:ext>
          </a:extLst>
        </xdr:cNvPr>
        <xdr:cNvSpPr>
          <a:spLocks noChangeShapeType="1"/>
        </xdr:cNvSpPr>
      </xdr:nvSpPr>
      <xdr:spPr bwMode="auto">
        <a:xfrm>
          <a:off x="9544050" y="4572000"/>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0</xdr:colOff>
      <xdr:row>20</xdr:row>
      <xdr:rowOff>0</xdr:rowOff>
    </xdr:from>
    <xdr:to>
      <xdr:col>29</xdr:col>
      <xdr:colOff>0</xdr:colOff>
      <xdr:row>23</xdr:row>
      <xdr:rowOff>0</xdr:rowOff>
    </xdr:to>
    <xdr:sp macro="" textlink="">
      <xdr:nvSpPr>
        <xdr:cNvPr id="9238" name="Freeform 22">
          <a:extLst>
            <a:ext uri="{FF2B5EF4-FFF2-40B4-BE49-F238E27FC236}">
              <a16:creationId xmlns:a16="http://schemas.microsoft.com/office/drawing/2014/main" id="{00000000-0008-0000-0100-000016240000}"/>
            </a:ext>
          </a:extLst>
        </xdr:cNvPr>
        <xdr:cNvSpPr>
          <a:spLocks/>
        </xdr:cNvSpPr>
      </xdr:nvSpPr>
      <xdr:spPr bwMode="auto">
        <a:xfrm>
          <a:off x="9801225" y="4572000"/>
          <a:ext cx="257175"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29</xdr:col>
      <xdr:colOff>409575</xdr:colOff>
      <xdr:row>17</xdr:row>
      <xdr:rowOff>0</xdr:rowOff>
    </xdr:from>
    <xdr:to>
      <xdr:col>30</xdr:col>
      <xdr:colOff>47625</xdr:colOff>
      <xdr:row>22</xdr:row>
      <xdr:rowOff>0</xdr:rowOff>
    </xdr:to>
    <xdr:sp macro="" textlink="">
      <xdr:nvSpPr>
        <xdr:cNvPr id="9239" name="AutoShape 23">
          <a:extLst>
            <a:ext uri="{FF2B5EF4-FFF2-40B4-BE49-F238E27FC236}">
              <a16:creationId xmlns:a16="http://schemas.microsoft.com/office/drawing/2014/main" id="{00000000-0008-0000-0100-000017240000}"/>
            </a:ext>
          </a:extLst>
        </xdr:cNvPr>
        <xdr:cNvSpPr>
          <a:spLocks/>
        </xdr:cNvSpPr>
      </xdr:nvSpPr>
      <xdr:spPr bwMode="auto">
        <a:xfrm>
          <a:off x="10467975" y="3886200"/>
          <a:ext cx="323850" cy="1143000"/>
        </a:xfrm>
        <a:prstGeom prst="rightBrace">
          <a:avLst>
            <a:gd name="adj1" fmla="val 29412"/>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20</xdr:col>
      <xdr:colOff>0</xdr:colOff>
      <xdr:row>17</xdr:row>
      <xdr:rowOff>0</xdr:rowOff>
    </xdr:from>
    <xdr:to>
      <xdr:col>29</xdr:col>
      <xdr:colOff>447675</xdr:colOff>
      <xdr:row>17</xdr:row>
      <xdr:rowOff>0</xdr:rowOff>
    </xdr:to>
    <xdr:sp macro="" textlink="">
      <xdr:nvSpPr>
        <xdr:cNvPr id="9240" name="Line 24">
          <a:extLst>
            <a:ext uri="{FF2B5EF4-FFF2-40B4-BE49-F238E27FC236}">
              <a16:creationId xmlns:a16="http://schemas.microsoft.com/office/drawing/2014/main" id="{00000000-0008-0000-0100-000018240000}"/>
            </a:ext>
          </a:extLst>
        </xdr:cNvPr>
        <xdr:cNvSpPr>
          <a:spLocks noChangeShapeType="1"/>
        </xdr:cNvSpPr>
      </xdr:nvSpPr>
      <xdr:spPr bwMode="auto">
        <a:xfrm>
          <a:off x="6257925" y="3886200"/>
          <a:ext cx="42481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133350</xdr:colOff>
      <xdr:row>22</xdr:row>
      <xdr:rowOff>0</xdr:rowOff>
    </xdr:from>
    <xdr:to>
      <xdr:col>29</xdr:col>
      <xdr:colOff>400050</xdr:colOff>
      <xdr:row>22</xdr:row>
      <xdr:rowOff>0</xdr:rowOff>
    </xdr:to>
    <xdr:sp macro="" textlink="">
      <xdr:nvSpPr>
        <xdr:cNvPr id="9241" name="Line 25">
          <a:extLst>
            <a:ext uri="{FF2B5EF4-FFF2-40B4-BE49-F238E27FC236}">
              <a16:creationId xmlns:a16="http://schemas.microsoft.com/office/drawing/2014/main" id="{00000000-0008-0000-0100-000019240000}"/>
            </a:ext>
          </a:extLst>
        </xdr:cNvPr>
        <xdr:cNvSpPr>
          <a:spLocks noChangeShapeType="1"/>
        </xdr:cNvSpPr>
      </xdr:nvSpPr>
      <xdr:spPr bwMode="auto">
        <a:xfrm flipH="1">
          <a:off x="9677400" y="5029200"/>
          <a:ext cx="7810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xdr:row>
      <xdr:rowOff>0</xdr:rowOff>
    </xdr:from>
    <xdr:to>
      <xdr:col>41</xdr:col>
      <xdr:colOff>0</xdr:colOff>
      <xdr:row>1</xdr:row>
      <xdr:rowOff>0</xdr:rowOff>
    </xdr:to>
    <xdr:sp macro="" textlink="">
      <xdr:nvSpPr>
        <xdr:cNvPr id="9242" name="Line 26">
          <a:extLst>
            <a:ext uri="{FF2B5EF4-FFF2-40B4-BE49-F238E27FC236}">
              <a16:creationId xmlns:a16="http://schemas.microsoft.com/office/drawing/2014/main" id="{00000000-0008-0000-0100-00001A240000}"/>
            </a:ext>
          </a:extLst>
        </xdr:cNvPr>
        <xdr:cNvSpPr>
          <a:spLocks noChangeShapeType="1"/>
        </xdr:cNvSpPr>
      </xdr:nvSpPr>
      <xdr:spPr bwMode="auto">
        <a:xfrm>
          <a:off x="15125700" y="228600"/>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40</xdr:col>
      <xdr:colOff>0</xdr:colOff>
      <xdr:row>1</xdr:row>
      <xdr:rowOff>0</xdr:rowOff>
    </xdr:from>
    <xdr:to>
      <xdr:col>41</xdr:col>
      <xdr:colOff>0</xdr:colOff>
      <xdr:row>4</xdr:row>
      <xdr:rowOff>0</xdr:rowOff>
    </xdr:to>
    <xdr:sp macro="" textlink="">
      <xdr:nvSpPr>
        <xdr:cNvPr id="9243" name="Freeform 27">
          <a:extLst>
            <a:ext uri="{FF2B5EF4-FFF2-40B4-BE49-F238E27FC236}">
              <a16:creationId xmlns:a16="http://schemas.microsoft.com/office/drawing/2014/main" id="{00000000-0008-0000-0100-00001B240000}"/>
            </a:ext>
          </a:extLst>
        </xdr:cNvPr>
        <xdr:cNvSpPr>
          <a:spLocks/>
        </xdr:cNvSpPr>
      </xdr:nvSpPr>
      <xdr:spPr bwMode="auto">
        <a:xfrm>
          <a:off x="15811500" y="228600"/>
          <a:ext cx="685800"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46</xdr:col>
      <xdr:colOff>0</xdr:colOff>
      <xdr:row>4</xdr:row>
      <xdr:rowOff>0</xdr:rowOff>
    </xdr:from>
    <xdr:to>
      <xdr:col>48</xdr:col>
      <xdr:colOff>0</xdr:colOff>
      <xdr:row>4</xdr:row>
      <xdr:rowOff>0</xdr:rowOff>
    </xdr:to>
    <xdr:sp macro="" textlink="">
      <xdr:nvSpPr>
        <xdr:cNvPr id="9244" name="Line 28">
          <a:extLst>
            <a:ext uri="{FF2B5EF4-FFF2-40B4-BE49-F238E27FC236}">
              <a16:creationId xmlns:a16="http://schemas.microsoft.com/office/drawing/2014/main" id="{00000000-0008-0000-0100-00001C240000}"/>
            </a:ext>
          </a:extLst>
        </xdr:cNvPr>
        <xdr:cNvSpPr>
          <a:spLocks noChangeShapeType="1"/>
        </xdr:cNvSpPr>
      </xdr:nvSpPr>
      <xdr:spPr bwMode="auto">
        <a:xfrm>
          <a:off x="18011775" y="914400"/>
          <a:ext cx="552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0</xdr:colOff>
      <xdr:row>4</xdr:row>
      <xdr:rowOff>0</xdr:rowOff>
    </xdr:from>
    <xdr:to>
      <xdr:col>48</xdr:col>
      <xdr:colOff>0</xdr:colOff>
      <xdr:row>7</xdr:row>
      <xdr:rowOff>0</xdr:rowOff>
    </xdr:to>
    <xdr:sp macro="" textlink="">
      <xdr:nvSpPr>
        <xdr:cNvPr id="9245" name="Freeform 29">
          <a:extLst>
            <a:ext uri="{FF2B5EF4-FFF2-40B4-BE49-F238E27FC236}">
              <a16:creationId xmlns:a16="http://schemas.microsoft.com/office/drawing/2014/main" id="{00000000-0008-0000-0100-00001D240000}"/>
            </a:ext>
          </a:extLst>
        </xdr:cNvPr>
        <xdr:cNvSpPr>
          <a:spLocks/>
        </xdr:cNvSpPr>
      </xdr:nvSpPr>
      <xdr:spPr bwMode="auto">
        <a:xfrm>
          <a:off x="18288000" y="914400"/>
          <a:ext cx="276225"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36</xdr:col>
      <xdr:colOff>0</xdr:colOff>
      <xdr:row>22</xdr:row>
      <xdr:rowOff>0</xdr:rowOff>
    </xdr:from>
    <xdr:to>
      <xdr:col>36</xdr:col>
      <xdr:colOff>0</xdr:colOff>
      <xdr:row>23</xdr:row>
      <xdr:rowOff>0</xdr:rowOff>
    </xdr:to>
    <xdr:sp macro="" textlink="">
      <xdr:nvSpPr>
        <xdr:cNvPr id="9246" name="Line 30">
          <a:extLst>
            <a:ext uri="{FF2B5EF4-FFF2-40B4-BE49-F238E27FC236}">
              <a16:creationId xmlns:a16="http://schemas.microsoft.com/office/drawing/2014/main" id="{00000000-0008-0000-0100-00001E240000}"/>
            </a:ext>
          </a:extLst>
        </xdr:cNvPr>
        <xdr:cNvSpPr>
          <a:spLocks noChangeShapeType="1"/>
        </xdr:cNvSpPr>
      </xdr:nvSpPr>
      <xdr:spPr bwMode="auto">
        <a:xfrm>
          <a:off x="13287375" y="5029200"/>
          <a:ext cx="0"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38</xdr:col>
      <xdr:colOff>0</xdr:colOff>
      <xdr:row>25</xdr:row>
      <xdr:rowOff>0</xdr:rowOff>
    </xdr:from>
    <xdr:to>
      <xdr:col>40</xdr:col>
      <xdr:colOff>0</xdr:colOff>
      <xdr:row>25</xdr:row>
      <xdr:rowOff>0</xdr:rowOff>
    </xdr:to>
    <xdr:sp macro="" textlink="">
      <xdr:nvSpPr>
        <xdr:cNvPr id="9247" name="Line 31">
          <a:extLst>
            <a:ext uri="{FF2B5EF4-FFF2-40B4-BE49-F238E27FC236}">
              <a16:creationId xmlns:a16="http://schemas.microsoft.com/office/drawing/2014/main" id="{00000000-0008-0000-0100-00001F240000}"/>
            </a:ext>
          </a:extLst>
        </xdr:cNvPr>
        <xdr:cNvSpPr>
          <a:spLocks noChangeShapeType="1"/>
        </xdr:cNvSpPr>
      </xdr:nvSpPr>
      <xdr:spPr bwMode="auto">
        <a:xfrm>
          <a:off x="14439900" y="5715000"/>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39</xdr:col>
      <xdr:colOff>0</xdr:colOff>
      <xdr:row>25</xdr:row>
      <xdr:rowOff>0</xdr:rowOff>
    </xdr:from>
    <xdr:to>
      <xdr:col>40</xdr:col>
      <xdr:colOff>0</xdr:colOff>
      <xdr:row>28</xdr:row>
      <xdr:rowOff>0</xdr:rowOff>
    </xdr:to>
    <xdr:sp macro="" textlink="">
      <xdr:nvSpPr>
        <xdr:cNvPr id="9248" name="Freeform 32">
          <a:extLst>
            <a:ext uri="{FF2B5EF4-FFF2-40B4-BE49-F238E27FC236}">
              <a16:creationId xmlns:a16="http://schemas.microsoft.com/office/drawing/2014/main" id="{00000000-0008-0000-0100-000020240000}"/>
            </a:ext>
          </a:extLst>
        </xdr:cNvPr>
        <xdr:cNvSpPr>
          <a:spLocks/>
        </xdr:cNvSpPr>
      </xdr:nvSpPr>
      <xdr:spPr bwMode="auto">
        <a:xfrm>
          <a:off x="15125700" y="5715000"/>
          <a:ext cx="685800"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17</xdr:col>
      <xdr:colOff>0</xdr:colOff>
      <xdr:row>3</xdr:row>
      <xdr:rowOff>0</xdr:rowOff>
    </xdr:from>
    <xdr:to>
      <xdr:col>18</xdr:col>
      <xdr:colOff>0</xdr:colOff>
      <xdr:row>6</xdr:row>
      <xdr:rowOff>0</xdr:rowOff>
    </xdr:to>
    <xdr:sp macro="" textlink="">
      <xdr:nvSpPr>
        <xdr:cNvPr id="9249" name="Freeform 33">
          <a:extLst>
            <a:ext uri="{FF2B5EF4-FFF2-40B4-BE49-F238E27FC236}">
              <a16:creationId xmlns:a16="http://schemas.microsoft.com/office/drawing/2014/main" id="{00000000-0008-0000-0100-000021240000}"/>
            </a:ext>
          </a:extLst>
        </xdr:cNvPr>
        <xdr:cNvSpPr>
          <a:spLocks/>
        </xdr:cNvSpPr>
      </xdr:nvSpPr>
      <xdr:spPr bwMode="auto">
        <a:xfrm>
          <a:off x="5648325" y="685800"/>
          <a:ext cx="257175" cy="685800"/>
        </a:xfrm>
        <a:custGeom>
          <a:avLst/>
          <a:gdLst>
            <a:gd name="T0" fmla="*/ 0 w 35"/>
            <a:gd name="T1" fmla="*/ 0 h 54"/>
            <a:gd name="T2" fmla="*/ 0 w 35"/>
            <a:gd name="T3" fmla="*/ 54 h 54"/>
            <a:gd name="T4" fmla="*/ 35 w 35"/>
            <a:gd name="T5" fmla="*/ 54 h 54"/>
          </a:gdLst>
          <a:ahLst/>
          <a:cxnLst>
            <a:cxn ang="0">
              <a:pos x="T0" y="T1"/>
            </a:cxn>
            <a:cxn ang="0">
              <a:pos x="T2" y="T3"/>
            </a:cxn>
            <a:cxn ang="0">
              <a:pos x="T4" y="T5"/>
            </a:cxn>
          </a:cxnLst>
          <a:rect l="0" t="0" r="r" b="b"/>
          <a:pathLst>
            <a:path w="35" h="54">
              <a:moveTo>
                <a:pt x="0" y="0"/>
              </a:moveTo>
              <a:lnTo>
                <a:pt x="0" y="54"/>
              </a:lnTo>
              <a:lnTo>
                <a:pt x="35" y="54"/>
              </a:lnTo>
            </a:path>
          </a:pathLst>
        </a:custGeom>
        <a:noFill/>
        <a:ln w="9525">
          <a:solidFill>
            <a:srgbClr xmlns:mc="http://schemas.openxmlformats.org/markup-compatibility/2006" xmlns:a14="http://schemas.microsoft.com/office/drawing/2010/main" val="000000" mc:Ignorable="a14" a14:legacySpreadsheetColorIndex="64"/>
          </a:solidFill>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35</xdr:col>
      <xdr:colOff>0</xdr:colOff>
      <xdr:row>36</xdr:row>
      <xdr:rowOff>0</xdr:rowOff>
    </xdr:from>
    <xdr:to>
      <xdr:col>35</xdr:col>
      <xdr:colOff>0</xdr:colOff>
      <xdr:row>37</xdr:row>
      <xdr:rowOff>0</xdr:rowOff>
    </xdr:to>
    <xdr:sp macro="" textlink="">
      <xdr:nvSpPr>
        <xdr:cNvPr id="9250" name="Line 34">
          <a:extLst>
            <a:ext uri="{FF2B5EF4-FFF2-40B4-BE49-F238E27FC236}">
              <a16:creationId xmlns:a16="http://schemas.microsoft.com/office/drawing/2014/main" id="{00000000-0008-0000-0100-000022240000}"/>
            </a:ext>
          </a:extLst>
        </xdr:cNvPr>
        <xdr:cNvSpPr>
          <a:spLocks noChangeShapeType="1"/>
        </xdr:cNvSpPr>
      </xdr:nvSpPr>
      <xdr:spPr bwMode="auto">
        <a:xfrm>
          <a:off x="13058775" y="8229600"/>
          <a:ext cx="0"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35</xdr:col>
      <xdr:colOff>0</xdr:colOff>
      <xdr:row>40</xdr:row>
      <xdr:rowOff>0</xdr:rowOff>
    </xdr:from>
    <xdr:to>
      <xdr:col>35</xdr:col>
      <xdr:colOff>0</xdr:colOff>
      <xdr:row>41</xdr:row>
      <xdr:rowOff>0</xdr:rowOff>
    </xdr:to>
    <xdr:sp macro="" textlink="">
      <xdr:nvSpPr>
        <xdr:cNvPr id="9251" name="Line 35">
          <a:extLst>
            <a:ext uri="{FF2B5EF4-FFF2-40B4-BE49-F238E27FC236}">
              <a16:creationId xmlns:a16="http://schemas.microsoft.com/office/drawing/2014/main" id="{00000000-0008-0000-0100-000023240000}"/>
            </a:ext>
          </a:extLst>
        </xdr:cNvPr>
        <xdr:cNvSpPr>
          <a:spLocks noChangeShapeType="1"/>
        </xdr:cNvSpPr>
      </xdr:nvSpPr>
      <xdr:spPr bwMode="auto">
        <a:xfrm>
          <a:off x="13058775" y="9086850"/>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37</xdr:col>
      <xdr:colOff>0</xdr:colOff>
      <xdr:row>29</xdr:row>
      <xdr:rowOff>0</xdr:rowOff>
    </xdr:from>
    <xdr:to>
      <xdr:col>37</xdr:col>
      <xdr:colOff>0</xdr:colOff>
      <xdr:row>31</xdr:row>
      <xdr:rowOff>0</xdr:rowOff>
    </xdr:to>
    <xdr:sp macro="" textlink="">
      <xdr:nvSpPr>
        <xdr:cNvPr id="9252" name="Line 36">
          <a:extLst>
            <a:ext uri="{FF2B5EF4-FFF2-40B4-BE49-F238E27FC236}">
              <a16:creationId xmlns:a16="http://schemas.microsoft.com/office/drawing/2014/main" id="{00000000-0008-0000-0100-000024240000}"/>
            </a:ext>
          </a:extLst>
        </xdr:cNvPr>
        <xdr:cNvSpPr>
          <a:spLocks noChangeShapeType="1"/>
        </xdr:cNvSpPr>
      </xdr:nvSpPr>
      <xdr:spPr bwMode="auto">
        <a:xfrm>
          <a:off x="13439775" y="6629400"/>
          <a:ext cx="0" cy="457200"/>
        </a:xfrm>
        <a:prstGeom prst="line">
          <a:avLst/>
        </a:prstGeom>
        <a:noFill/>
        <a:ln w="38100" cmpd="thinThick">
          <a:solidFill>
            <a:srgbClr xmlns:mc="http://schemas.openxmlformats.org/markup-compatibility/2006" xmlns:a14="http://schemas.microsoft.com/office/drawing/2010/main" val="0000FF" mc:Ignorable="a14" a14:legacySpreadsheetColorIndex="12"/>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619125</xdr:colOff>
      <xdr:row>208</xdr:row>
      <xdr:rowOff>0</xdr:rowOff>
    </xdr:from>
    <xdr:to>
      <xdr:col>0</xdr:col>
      <xdr:colOff>619125</xdr:colOff>
      <xdr:row>221</xdr:row>
      <xdr:rowOff>0</xdr:rowOff>
    </xdr:to>
    <xdr:sp macro="" textlink="">
      <xdr:nvSpPr>
        <xdr:cNvPr id="12289" name="Line 1">
          <a:extLst>
            <a:ext uri="{FF2B5EF4-FFF2-40B4-BE49-F238E27FC236}">
              <a16:creationId xmlns:a16="http://schemas.microsoft.com/office/drawing/2014/main" id="{00000000-0008-0000-0200-000001300000}"/>
            </a:ext>
          </a:extLst>
        </xdr:cNvPr>
        <xdr:cNvSpPr>
          <a:spLocks noChangeShapeType="1"/>
        </xdr:cNvSpPr>
      </xdr:nvSpPr>
      <xdr:spPr bwMode="auto">
        <a:xfrm>
          <a:off x="619125" y="34918650"/>
          <a:ext cx="0" cy="2228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0</xdr:col>
      <xdr:colOff>76200</xdr:colOff>
      <xdr:row>203</xdr:row>
      <xdr:rowOff>9525</xdr:rowOff>
    </xdr:from>
    <xdr:to>
      <xdr:col>0</xdr:col>
      <xdr:colOff>76200</xdr:colOff>
      <xdr:row>237</xdr:row>
      <xdr:rowOff>133350</xdr:rowOff>
    </xdr:to>
    <xdr:sp macro="" textlink="">
      <xdr:nvSpPr>
        <xdr:cNvPr id="12291" name="Line 3">
          <a:extLst>
            <a:ext uri="{FF2B5EF4-FFF2-40B4-BE49-F238E27FC236}">
              <a16:creationId xmlns:a16="http://schemas.microsoft.com/office/drawing/2014/main" id="{00000000-0008-0000-0200-000003300000}"/>
            </a:ext>
          </a:extLst>
        </xdr:cNvPr>
        <xdr:cNvSpPr>
          <a:spLocks noChangeShapeType="1"/>
        </xdr:cNvSpPr>
      </xdr:nvSpPr>
      <xdr:spPr bwMode="auto">
        <a:xfrm flipH="1">
          <a:off x="76200" y="34070925"/>
          <a:ext cx="0" cy="5953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523875</xdr:colOff>
      <xdr:row>242</xdr:row>
      <xdr:rowOff>0</xdr:rowOff>
    </xdr:from>
    <xdr:to>
      <xdr:col>16</xdr:col>
      <xdr:colOff>419100</xdr:colOff>
      <xdr:row>244</xdr:row>
      <xdr:rowOff>0</xdr:rowOff>
    </xdr:to>
    <xdr:sp macro="" textlink="">
      <xdr:nvSpPr>
        <xdr:cNvPr id="12292" name="AutoShape 4">
          <a:extLst>
            <a:ext uri="{FF2B5EF4-FFF2-40B4-BE49-F238E27FC236}">
              <a16:creationId xmlns:a16="http://schemas.microsoft.com/office/drawing/2014/main" id="{00000000-0008-0000-0200-000004300000}"/>
            </a:ext>
          </a:extLst>
        </xdr:cNvPr>
        <xdr:cNvSpPr>
          <a:spLocks noChangeArrowheads="1"/>
        </xdr:cNvSpPr>
      </xdr:nvSpPr>
      <xdr:spPr bwMode="auto">
        <a:xfrm>
          <a:off x="5410200" y="40747950"/>
          <a:ext cx="5381625" cy="342900"/>
        </a:xfrm>
        <a:prstGeom prst="bracketPair">
          <a:avLst>
            <a:gd name="adj" fmla="val 16667"/>
          </a:avLst>
        </a:prstGeom>
        <a:noFill/>
        <a:ln w="952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14</xdr:col>
      <xdr:colOff>171450</xdr:colOff>
      <xdr:row>254</xdr:row>
      <xdr:rowOff>9525</xdr:rowOff>
    </xdr:from>
    <xdr:to>
      <xdr:col>14</xdr:col>
      <xdr:colOff>171450</xdr:colOff>
      <xdr:row>255</xdr:row>
      <xdr:rowOff>152400</xdr:rowOff>
    </xdr:to>
    <xdr:sp macro="" textlink="">
      <xdr:nvSpPr>
        <xdr:cNvPr id="12293" name="Line 5">
          <a:extLst>
            <a:ext uri="{FF2B5EF4-FFF2-40B4-BE49-F238E27FC236}">
              <a16:creationId xmlns:a16="http://schemas.microsoft.com/office/drawing/2014/main" id="{00000000-0008-0000-0200-000005300000}"/>
            </a:ext>
          </a:extLst>
        </xdr:cNvPr>
        <xdr:cNvSpPr>
          <a:spLocks noChangeShapeType="1"/>
        </xdr:cNvSpPr>
      </xdr:nvSpPr>
      <xdr:spPr bwMode="auto">
        <a:xfrm flipH="1" flipV="1">
          <a:off x="9172575" y="42814875"/>
          <a:ext cx="0" cy="3143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11</xdr:col>
      <xdr:colOff>314325</xdr:colOff>
      <xdr:row>230</xdr:row>
      <xdr:rowOff>0</xdr:rowOff>
    </xdr:from>
    <xdr:to>
      <xdr:col>11</xdr:col>
      <xdr:colOff>514350</xdr:colOff>
      <xdr:row>234</xdr:row>
      <xdr:rowOff>0</xdr:rowOff>
    </xdr:to>
    <xdr:sp macro="" textlink="">
      <xdr:nvSpPr>
        <xdr:cNvPr id="12294" name="AutoShape 6">
          <a:extLst>
            <a:ext uri="{FF2B5EF4-FFF2-40B4-BE49-F238E27FC236}">
              <a16:creationId xmlns:a16="http://schemas.microsoft.com/office/drawing/2014/main" id="{00000000-0008-0000-0200-000006300000}"/>
            </a:ext>
          </a:extLst>
        </xdr:cNvPr>
        <xdr:cNvSpPr>
          <a:spLocks/>
        </xdr:cNvSpPr>
      </xdr:nvSpPr>
      <xdr:spPr bwMode="auto">
        <a:xfrm>
          <a:off x="7258050" y="38690550"/>
          <a:ext cx="200025" cy="685800"/>
        </a:xfrm>
        <a:prstGeom prst="rightBrace">
          <a:avLst>
            <a:gd name="adj1" fmla="val 28571"/>
            <a:gd name="adj2" fmla="val 50000"/>
          </a:avLst>
        </a:prstGeom>
        <a:noFill/>
        <a:ln w="25400">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10</xdr:col>
      <xdr:colOff>552450</xdr:colOff>
      <xdr:row>265</xdr:row>
      <xdr:rowOff>123825</xdr:rowOff>
    </xdr:from>
    <xdr:to>
      <xdr:col>12</xdr:col>
      <xdr:colOff>590550</xdr:colOff>
      <xdr:row>267</xdr:row>
      <xdr:rowOff>66675</xdr:rowOff>
    </xdr:to>
    <xdr:sp macro="" textlink="">
      <xdr:nvSpPr>
        <xdr:cNvPr id="12295" name="Line 7">
          <a:extLst>
            <a:ext uri="{FF2B5EF4-FFF2-40B4-BE49-F238E27FC236}">
              <a16:creationId xmlns:a16="http://schemas.microsoft.com/office/drawing/2014/main" id="{00000000-0008-0000-0200-000007300000}"/>
            </a:ext>
          </a:extLst>
        </xdr:cNvPr>
        <xdr:cNvSpPr>
          <a:spLocks noChangeShapeType="1"/>
        </xdr:cNvSpPr>
      </xdr:nvSpPr>
      <xdr:spPr bwMode="auto">
        <a:xfrm flipH="1" flipV="1">
          <a:off x="6810375" y="44815125"/>
          <a:ext cx="1409700" cy="285750"/>
        </a:xfrm>
        <a:prstGeom prst="line">
          <a:avLst/>
        </a:prstGeom>
        <a:noFill/>
        <a:ln w="9525">
          <a:solidFill>
            <a:srgbClr xmlns:mc="http://schemas.openxmlformats.org/markup-compatibility/2006" xmlns:a14="http://schemas.microsoft.com/office/drawing/2010/main" val="0000FF" mc:Ignorable="a14" a14:legacySpreadsheetColorIndex="1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0</xdr:colOff>
      <xdr:row>243</xdr:row>
      <xdr:rowOff>0</xdr:rowOff>
    </xdr:from>
    <xdr:to>
      <xdr:col>1</xdr:col>
      <xdr:colOff>0</xdr:colOff>
      <xdr:row>262</xdr:row>
      <xdr:rowOff>0</xdr:rowOff>
    </xdr:to>
    <xdr:sp macro="" textlink="">
      <xdr:nvSpPr>
        <xdr:cNvPr id="12296" name="Line 8">
          <a:extLst>
            <a:ext uri="{FF2B5EF4-FFF2-40B4-BE49-F238E27FC236}">
              <a16:creationId xmlns:a16="http://schemas.microsoft.com/office/drawing/2014/main" id="{00000000-0008-0000-0200-000008300000}"/>
            </a:ext>
          </a:extLst>
        </xdr:cNvPr>
        <xdr:cNvSpPr>
          <a:spLocks noChangeShapeType="1"/>
        </xdr:cNvSpPr>
      </xdr:nvSpPr>
      <xdr:spPr bwMode="auto">
        <a:xfrm>
          <a:off x="685800" y="40919400"/>
          <a:ext cx="0" cy="3257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0</xdr:row>
          <xdr:rowOff>9525</xdr:rowOff>
        </xdr:from>
        <xdr:to>
          <xdr:col>15</xdr:col>
          <xdr:colOff>0</xdr:colOff>
          <xdr:row>2</xdr:row>
          <xdr:rowOff>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400-00001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FF"/>
                  </a:solidFill>
                  <a:latin typeface="ＭＳ Ｐゴシック"/>
                  <a:ea typeface="ＭＳ Ｐゴシック"/>
                </a:rPr>
                <a:t>前月入力内容消去</a:t>
              </a:r>
            </a:p>
          </xdr:txBody>
        </xdr:sp>
        <xdr:clientData fPrintsWithSheet="0"/>
      </xdr:twoCellAnchor>
    </mc:Choice>
    <mc:Fallback/>
  </mc:AlternateContent>
  <xdr:twoCellAnchor>
    <xdr:from>
      <xdr:col>6</xdr:col>
      <xdr:colOff>9525</xdr:colOff>
      <xdr:row>40</xdr:row>
      <xdr:rowOff>142875</xdr:rowOff>
    </xdr:from>
    <xdr:to>
      <xdr:col>7</xdr:col>
      <xdr:colOff>0</xdr:colOff>
      <xdr:row>43</xdr:row>
      <xdr:rowOff>0</xdr:rowOff>
    </xdr:to>
    <xdr:sp macro="" textlink="">
      <xdr:nvSpPr>
        <xdr:cNvPr id="2442" name="Freeform 394">
          <a:extLst>
            <a:ext uri="{FF2B5EF4-FFF2-40B4-BE49-F238E27FC236}">
              <a16:creationId xmlns:a16="http://schemas.microsoft.com/office/drawing/2014/main" id="{00000000-0008-0000-0400-00008A090000}"/>
            </a:ext>
          </a:extLst>
        </xdr:cNvPr>
        <xdr:cNvSpPr>
          <a:spLocks/>
        </xdr:cNvSpPr>
      </xdr:nvSpPr>
      <xdr:spPr bwMode="auto">
        <a:xfrm>
          <a:off x="3390900" y="7496175"/>
          <a:ext cx="685800" cy="371475"/>
        </a:xfrm>
        <a:custGeom>
          <a:avLst/>
          <a:gdLst>
            <a:gd name="T0" fmla="*/ 72 w 72"/>
            <a:gd name="T1" fmla="*/ 1 h 39"/>
            <a:gd name="T2" fmla="*/ 33 w 72"/>
            <a:gd name="T3" fmla="*/ 0 h 39"/>
            <a:gd name="T4" fmla="*/ 34 w 72"/>
            <a:gd name="T5" fmla="*/ 39 h 39"/>
            <a:gd name="T6" fmla="*/ 0 w 72"/>
            <a:gd name="T7" fmla="*/ 39 h 39"/>
          </a:gdLst>
          <a:ahLst/>
          <a:cxnLst>
            <a:cxn ang="0">
              <a:pos x="T0" y="T1"/>
            </a:cxn>
            <a:cxn ang="0">
              <a:pos x="T2" y="T3"/>
            </a:cxn>
            <a:cxn ang="0">
              <a:pos x="T4" y="T5"/>
            </a:cxn>
            <a:cxn ang="0">
              <a:pos x="T6" y="T7"/>
            </a:cxn>
          </a:cxnLst>
          <a:rect l="0" t="0" r="r" b="b"/>
          <a:pathLst>
            <a:path w="72" h="39">
              <a:moveTo>
                <a:pt x="72" y="1"/>
              </a:moveTo>
              <a:lnTo>
                <a:pt x="33" y="0"/>
              </a:lnTo>
              <a:lnTo>
                <a:pt x="34" y="39"/>
              </a:lnTo>
              <a:lnTo>
                <a:pt x="0" y="39"/>
              </a:lnTo>
            </a:path>
          </a:pathLst>
        </a:custGeom>
        <a:noFill/>
        <a:ln w="25400">
          <a:solidFill>
            <a:srgbClr xmlns:mc="http://schemas.openxmlformats.org/markup-compatibility/2006" xmlns:a14="http://schemas.microsoft.com/office/drawing/2010/main" val="000000" mc:Ignorable="a14" a14:legacySpreadsheetColorIndex="64"/>
          </a:solidFill>
          <a:round/>
          <a:headEnd/>
          <a:tailEnd type="triangle" w="med" len="sm"/>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552450</xdr:colOff>
      <xdr:row>36</xdr:row>
      <xdr:rowOff>0</xdr:rowOff>
    </xdr:from>
    <xdr:to>
      <xdr:col>9</xdr:col>
      <xdr:colOff>552450</xdr:colOff>
      <xdr:row>37</xdr:row>
      <xdr:rowOff>0</xdr:rowOff>
    </xdr:to>
    <xdr:sp macro="" textlink="">
      <xdr:nvSpPr>
        <xdr:cNvPr id="2443" name="Line 395">
          <a:extLst>
            <a:ext uri="{FF2B5EF4-FFF2-40B4-BE49-F238E27FC236}">
              <a16:creationId xmlns:a16="http://schemas.microsoft.com/office/drawing/2014/main" id="{00000000-0008-0000-0400-00008B090000}"/>
            </a:ext>
          </a:extLst>
        </xdr:cNvPr>
        <xdr:cNvSpPr>
          <a:spLocks noChangeShapeType="1"/>
        </xdr:cNvSpPr>
      </xdr:nvSpPr>
      <xdr:spPr bwMode="auto">
        <a:xfrm flipV="1">
          <a:off x="6076950" y="6657975"/>
          <a:ext cx="0" cy="180975"/>
        </a:xfrm>
        <a:prstGeom prst="line">
          <a:avLst/>
        </a:prstGeom>
        <a:noFill/>
        <a:ln w="25400">
          <a:solidFill>
            <a:srgbClr xmlns:mc="http://schemas.openxmlformats.org/markup-compatibility/2006" xmlns:a14="http://schemas.microsoft.com/office/drawing/2010/main" val="000000" mc:Ignorable="a14" a14:legacySpreadsheetColorIndex="64"/>
          </a:solidFill>
          <a:round/>
          <a:headEnd/>
          <a:tailEnd type="triangle" w="med" len="sm"/>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Y73"/>
  <sheetViews>
    <sheetView showGridLines="0" zoomScale="85" zoomScaleNormal="85" workbookViewId="0">
      <selection activeCell="E136" sqref="E136"/>
    </sheetView>
  </sheetViews>
  <sheetFormatPr defaultColWidth="3.375" defaultRowHeight="13.5"/>
  <cols>
    <col min="1" max="3" width="9" customWidth="1"/>
  </cols>
  <sheetData>
    <row r="1" spans="1:51" ht="18.75">
      <c r="A1" s="47" t="s">
        <v>0</v>
      </c>
      <c r="AF1" s="755" t="s">
        <v>1</v>
      </c>
      <c r="AG1" s="755"/>
    </row>
    <row r="2" spans="1:51">
      <c r="AF2" s="762">
        <v>0.91666666666666663</v>
      </c>
      <c r="AG2" s="762"/>
    </row>
    <row r="3" spans="1:51">
      <c r="C3" t="s">
        <v>2</v>
      </c>
      <c r="F3" s="755" t="s">
        <v>3</v>
      </c>
      <c r="G3" s="755"/>
      <c r="J3" s="749" t="s">
        <v>4</v>
      </c>
      <c r="K3" s="749"/>
      <c r="N3" s="755" t="s">
        <v>3</v>
      </c>
      <c r="O3" s="755"/>
      <c r="R3" s="749" t="s">
        <v>4</v>
      </c>
      <c r="S3" s="749"/>
      <c r="W3" s="749" t="s">
        <v>3</v>
      </c>
      <c r="X3" s="749"/>
      <c r="AA3" s="749" t="s">
        <v>4</v>
      </c>
      <c r="AB3" s="749"/>
      <c r="AD3" s="749" t="s">
        <v>3</v>
      </c>
      <c r="AE3" s="749"/>
      <c r="AG3" s="17"/>
      <c r="AH3" s="749" t="s">
        <v>4</v>
      </c>
      <c r="AI3" s="749"/>
      <c r="AL3" s="749" t="s">
        <v>3</v>
      </c>
      <c r="AM3" s="749"/>
      <c r="AP3" s="749" t="s">
        <v>4</v>
      </c>
      <c r="AQ3" s="749"/>
      <c r="AT3" s="749" t="s">
        <v>3</v>
      </c>
      <c r="AU3" s="749"/>
      <c r="AX3" s="749" t="s">
        <v>4</v>
      </c>
      <c r="AY3" s="749"/>
    </row>
    <row r="4" spans="1:51">
      <c r="D4" s="23"/>
      <c r="E4" s="23"/>
      <c r="F4" s="23"/>
      <c r="G4" s="3"/>
      <c r="H4" s="6"/>
      <c r="I4" s="6"/>
      <c r="J4" s="4"/>
      <c r="K4" s="23"/>
      <c r="L4" s="23"/>
      <c r="M4" s="23"/>
      <c r="N4" s="23"/>
      <c r="O4" s="3"/>
      <c r="P4" s="4"/>
      <c r="Q4" s="9"/>
      <c r="R4" s="10"/>
      <c r="S4" s="23"/>
      <c r="T4" s="23"/>
      <c r="U4" s="23"/>
      <c r="V4" s="23"/>
      <c r="W4" s="23"/>
      <c r="X4" s="11"/>
      <c r="Y4" s="9"/>
      <c r="Z4" s="9"/>
      <c r="AA4" s="10"/>
      <c r="AB4" s="23"/>
      <c r="AC4" s="23"/>
      <c r="AD4" s="23"/>
      <c r="AE4" s="11"/>
      <c r="AF4" s="9"/>
      <c r="AG4" s="18"/>
      <c r="AH4" s="10"/>
      <c r="AI4" s="23"/>
      <c r="AJ4" s="23"/>
      <c r="AK4" s="23"/>
      <c r="AL4" s="23"/>
      <c r="AM4" s="11"/>
      <c r="AN4" s="10"/>
      <c r="AO4" s="6"/>
      <c r="AP4" s="4"/>
      <c r="AQ4" s="23"/>
      <c r="AR4" s="23"/>
      <c r="AS4" s="23"/>
      <c r="AT4" s="23"/>
      <c r="AU4" s="3"/>
      <c r="AV4" s="6"/>
      <c r="AW4" s="6"/>
      <c r="AX4" s="4"/>
      <c r="AY4" s="23"/>
    </row>
    <row r="5" spans="1:51" ht="4.5" customHeight="1">
      <c r="P5" s="657"/>
      <c r="AG5" s="17"/>
      <c r="AN5" s="657"/>
    </row>
    <row r="6" spans="1:51">
      <c r="P6" s="763" t="s">
        <v>5</v>
      </c>
      <c r="Q6" s="764"/>
      <c r="AG6" s="17"/>
      <c r="AN6" s="8"/>
    </row>
    <row r="7" spans="1:51">
      <c r="A7" s="755" t="s">
        <v>6</v>
      </c>
      <c r="B7" s="755"/>
      <c r="C7" s="755"/>
      <c r="D7" t="s">
        <v>7</v>
      </c>
      <c r="F7" s="756">
        <v>0</v>
      </c>
      <c r="G7" s="756"/>
      <c r="H7" s="34"/>
      <c r="I7" s="34"/>
      <c r="J7" s="756">
        <v>0</v>
      </c>
      <c r="K7" s="756"/>
      <c r="L7" s="34"/>
      <c r="M7" s="34"/>
      <c r="N7" s="756">
        <v>0</v>
      </c>
      <c r="O7" s="756"/>
      <c r="P7" s="725"/>
      <c r="Q7" s="35"/>
      <c r="R7" s="750">
        <v>1</v>
      </c>
      <c r="S7" s="750"/>
      <c r="T7" s="722"/>
      <c r="U7" s="722"/>
      <c r="V7" s="722"/>
      <c r="W7" s="750">
        <v>1</v>
      </c>
      <c r="X7" s="750"/>
      <c r="Y7" s="750"/>
      <c r="Z7" s="750"/>
      <c r="AA7" s="750">
        <v>1</v>
      </c>
      <c r="AB7" s="750"/>
      <c r="AC7" s="722"/>
      <c r="AD7" s="758">
        <v>1</v>
      </c>
      <c r="AE7" s="758"/>
      <c r="AF7" s="722"/>
      <c r="AG7" s="36"/>
      <c r="AH7" s="758">
        <v>1</v>
      </c>
      <c r="AI7" s="758"/>
      <c r="AJ7" s="722"/>
      <c r="AK7" s="722"/>
      <c r="AL7" s="757">
        <v>1</v>
      </c>
      <c r="AM7" s="757"/>
      <c r="AN7" s="37"/>
      <c r="AO7" s="722"/>
      <c r="AP7" s="757">
        <v>1</v>
      </c>
      <c r="AQ7" s="757"/>
      <c r="AR7" s="726"/>
      <c r="AS7" s="726"/>
      <c r="AT7" s="750">
        <v>1</v>
      </c>
      <c r="AU7" s="750"/>
      <c r="AV7" s="750"/>
      <c r="AW7" s="750"/>
      <c r="AX7" s="750">
        <v>1</v>
      </c>
      <c r="AY7" s="750"/>
    </row>
    <row r="8" spans="1:51" s="1" customFormat="1">
      <c r="A8" s="25"/>
      <c r="B8" s="25"/>
      <c r="C8" s="25"/>
      <c r="N8" s="38"/>
      <c r="O8" s="38"/>
      <c r="P8" s="25"/>
      <c r="Q8" s="39"/>
      <c r="R8" s="25"/>
      <c r="S8" s="25"/>
      <c r="T8" s="25"/>
      <c r="U8" s="25"/>
      <c r="V8" s="25"/>
      <c r="W8" s="25"/>
      <c r="X8" s="25"/>
      <c r="Y8" s="25"/>
      <c r="Z8" s="25"/>
      <c r="AA8" s="25"/>
      <c r="AB8" s="25"/>
      <c r="AC8" s="25"/>
      <c r="AD8" s="40"/>
      <c r="AE8" s="40"/>
      <c r="AF8" s="25"/>
      <c r="AG8" s="41"/>
      <c r="AH8" s="40"/>
      <c r="AI8" s="40"/>
      <c r="AJ8" s="25"/>
      <c r="AK8" s="25"/>
      <c r="AL8" s="42"/>
      <c r="AM8" s="42"/>
      <c r="AN8" s="721"/>
      <c r="AO8" s="25"/>
      <c r="AP8" s="42"/>
      <c r="AQ8" s="42"/>
      <c r="AR8" s="25"/>
      <c r="AS8" s="25"/>
      <c r="AT8" s="25"/>
      <c r="AU8" s="25"/>
      <c r="AV8" s="25"/>
      <c r="AW8" s="25"/>
      <c r="AX8" s="25"/>
      <c r="AY8" s="25"/>
    </row>
    <row r="9" spans="1:51">
      <c r="O9" s="13"/>
      <c r="P9" s="13"/>
      <c r="Q9" s="14"/>
      <c r="R9" s="15"/>
      <c r="S9" s="13"/>
      <c r="T9" s="13"/>
      <c r="U9" s="13"/>
      <c r="V9" s="13"/>
      <c r="AG9" s="17"/>
      <c r="AI9" s="13"/>
      <c r="AJ9" s="13"/>
      <c r="AK9" s="13"/>
      <c r="AL9" s="13"/>
      <c r="AN9" s="763" t="s">
        <v>8</v>
      </c>
      <c r="AO9" s="764"/>
    </row>
    <row r="10" spans="1:51">
      <c r="A10" s="755" t="s">
        <v>9</v>
      </c>
      <c r="B10" s="755"/>
      <c r="C10" s="755"/>
      <c r="D10" t="s">
        <v>10</v>
      </c>
      <c r="F10" s="750">
        <v>1</v>
      </c>
      <c r="G10" s="750"/>
      <c r="H10" s="43"/>
      <c r="I10" s="43"/>
      <c r="J10" s="750">
        <v>1</v>
      </c>
      <c r="K10" s="750"/>
      <c r="L10" s="43"/>
      <c r="M10" s="43"/>
      <c r="N10" s="750">
        <v>1</v>
      </c>
      <c r="O10" s="750"/>
      <c r="P10" s="722"/>
      <c r="Q10" s="35"/>
      <c r="R10" s="750">
        <v>1</v>
      </c>
      <c r="S10" s="750"/>
      <c r="T10" s="722"/>
      <c r="U10" s="722"/>
      <c r="V10" s="722"/>
      <c r="W10" s="750">
        <v>1</v>
      </c>
      <c r="X10" s="750"/>
      <c r="Y10" s="750"/>
      <c r="Z10" s="750"/>
      <c r="AA10" s="750">
        <v>1</v>
      </c>
      <c r="AB10" s="750"/>
      <c r="AC10" s="722"/>
      <c r="AD10" s="758">
        <v>1</v>
      </c>
      <c r="AE10" s="758"/>
      <c r="AF10" s="722"/>
      <c r="AG10" s="36"/>
      <c r="AH10" s="758">
        <v>1</v>
      </c>
      <c r="AI10" s="758"/>
      <c r="AJ10" s="722"/>
      <c r="AK10" s="722"/>
      <c r="AL10" s="757">
        <v>1</v>
      </c>
      <c r="AM10" s="757"/>
      <c r="AN10" s="37"/>
      <c r="AO10" s="725"/>
      <c r="AP10" s="751">
        <v>0</v>
      </c>
      <c r="AQ10" s="751"/>
      <c r="AR10" s="725"/>
      <c r="AS10" s="725"/>
      <c r="AT10" s="751">
        <v>0</v>
      </c>
      <c r="AU10" s="751"/>
      <c r="AV10" s="752"/>
      <c r="AW10" s="752"/>
      <c r="AX10" s="751">
        <v>0</v>
      </c>
      <c r="AY10" s="751"/>
    </row>
    <row r="11" spans="1:51">
      <c r="N11" s="726"/>
      <c r="O11" s="726"/>
      <c r="P11" s="16"/>
      <c r="Q11" s="12"/>
      <c r="R11" s="726"/>
      <c r="S11" s="726"/>
      <c r="T11" s="726"/>
      <c r="U11" s="726"/>
      <c r="V11" s="726"/>
      <c r="W11" s="726"/>
      <c r="X11" s="726"/>
      <c r="Y11" s="726"/>
      <c r="Z11" s="726"/>
      <c r="AA11" s="726"/>
      <c r="AB11" s="726"/>
      <c r="AC11" s="726"/>
      <c r="AD11" s="726"/>
      <c r="AE11" s="726"/>
      <c r="AF11" s="726"/>
      <c r="AG11" s="19"/>
      <c r="AH11" s="726"/>
      <c r="AI11" s="726"/>
      <c r="AJ11" s="726"/>
      <c r="AK11" s="726"/>
      <c r="AL11" s="12"/>
      <c r="AM11" s="12"/>
      <c r="AN11" s="16"/>
      <c r="AO11" s="726"/>
      <c r="AP11" s="12"/>
      <c r="AQ11" s="12"/>
      <c r="AR11" s="726"/>
      <c r="AS11" s="726"/>
      <c r="AT11" s="726"/>
      <c r="AU11" s="726"/>
      <c r="AV11" s="726"/>
      <c r="AW11" s="726"/>
      <c r="AX11" s="726"/>
      <c r="AY11" s="726"/>
    </row>
    <row r="12" spans="1:51">
      <c r="A12" s="755" t="s">
        <v>11</v>
      </c>
      <c r="B12" s="755"/>
      <c r="C12" s="755"/>
      <c r="D12" t="s">
        <v>12</v>
      </c>
      <c r="F12" s="759" t="b">
        <v>0</v>
      </c>
      <c r="G12" s="759"/>
      <c r="H12" s="34"/>
      <c r="I12" s="34"/>
      <c r="J12" s="759" t="b">
        <v>0</v>
      </c>
      <c r="K12" s="759"/>
      <c r="L12" s="34"/>
      <c r="M12" s="34"/>
      <c r="N12" s="759" t="b">
        <v>0</v>
      </c>
      <c r="O12" s="759"/>
      <c r="P12" s="48"/>
      <c r="Q12" s="724"/>
      <c r="R12" s="758" t="b">
        <v>1</v>
      </c>
      <c r="S12" s="758"/>
      <c r="T12" s="722"/>
      <c r="U12" s="722"/>
      <c r="V12" s="722"/>
      <c r="W12" s="758" t="b">
        <v>1</v>
      </c>
      <c r="X12" s="758"/>
      <c r="Y12" s="722"/>
      <c r="Z12" s="722"/>
      <c r="AA12" s="758" t="b">
        <v>1</v>
      </c>
      <c r="AB12" s="758"/>
      <c r="AC12" s="722"/>
      <c r="AD12" s="758" t="b">
        <v>1</v>
      </c>
      <c r="AE12" s="758"/>
      <c r="AF12" s="722"/>
      <c r="AG12" s="36"/>
      <c r="AH12" s="758" t="b">
        <v>1</v>
      </c>
      <c r="AI12" s="758"/>
      <c r="AJ12" s="722"/>
      <c r="AK12" s="722"/>
      <c r="AL12" s="761" t="b">
        <v>1</v>
      </c>
      <c r="AM12" s="761"/>
      <c r="AN12" s="37"/>
      <c r="AO12" s="725"/>
      <c r="AP12" s="753" t="b">
        <v>0</v>
      </c>
      <c r="AQ12" s="753"/>
      <c r="AR12" s="725"/>
      <c r="AS12" s="725"/>
      <c r="AT12" s="753" t="b">
        <v>0</v>
      </c>
      <c r="AU12" s="753"/>
      <c r="AV12" s="725"/>
      <c r="AW12" s="725"/>
      <c r="AX12" s="753" t="b">
        <v>0</v>
      </c>
      <c r="AY12" s="753"/>
    </row>
    <row r="13" spans="1:51">
      <c r="F13" s="760" t="s">
        <v>13</v>
      </c>
      <c r="G13" s="760"/>
      <c r="H13" s="34"/>
      <c r="I13" s="34"/>
      <c r="J13" s="760" t="s">
        <v>13</v>
      </c>
      <c r="K13" s="760"/>
      <c r="L13" s="34"/>
      <c r="M13" s="34"/>
      <c r="N13" s="760" t="s">
        <v>13</v>
      </c>
      <c r="O13" s="760"/>
      <c r="P13" s="48"/>
      <c r="Q13" s="724"/>
      <c r="R13" s="728"/>
      <c r="S13" s="728"/>
      <c r="T13" s="722"/>
      <c r="U13" s="722"/>
      <c r="V13" s="722"/>
      <c r="W13" s="728"/>
      <c r="X13" s="728"/>
      <c r="Y13" s="722"/>
      <c r="Z13" s="722"/>
      <c r="AA13" s="728"/>
      <c r="AB13" s="728"/>
      <c r="AC13" s="722"/>
      <c r="AD13" s="728"/>
      <c r="AE13" s="728"/>
      <c r="AF13" s="722"/>
      <c r="AG13" s="36"/>
      <c r="AH13" s="728"/>
      <c r="AI13" s="728"/>
      <c r="AJ13" s="722"/>
      <c r="AK13" s="722"/>
      <c r="AL13" s="729"/>
      <c r="AM13" s="729"/>
      <c r="AN13" s="37"/>
      <c r="AO13" s="725"/>
      <c r="AP13" s="754" t="s">
        <v>13</v>
      </c>
      <c r="AQ13" s="754"/>
      <c r="AR13" s="725"/>
      <c r="AS13" s="725"/>
      <c r="AT13" s="754" t="s">
        <v>13</v>
      </c>
      <c r="AU13" s="754"/>
      <c r="AV13" s="725"/>
      <c r="AW13" s="725"/>
      <c r="AX13" s="754" t="s">
        <v>13</v>
      </c>
      <c r="AY13" s="754"/>
    </row>
    <row r="14" spans="1:51">
      <c r="N14" s="726"/>
      <c r="O14" s="726"/>
      <c r="P14" s="726"/>
      <c r="Q14" s="12"/>
      <c r="R14" s="726"/>
      <c r="S14" s="726"/>
      <c r="T14" s="726"/>
      <c r="U14" s="726"/>
      <c r="V14" s="726"/>
      <c r="W14" s="726"/>
      <c r="X14" s="726"/>
      <c r="Y14" s="726"/>
      <c r="Z14" s="726"/>
      <c r="AA14" s="726"/>
      <c r="AB14" s="726"/>
      <c r="AC14" s="726"/>
      <c r="AD14" s="726"/>
      <c r="AE14" s="726"/>
      <c r="AF14" s="726"/>
      <c r="AG14" s="19"/>
      <c r="AH14" s="726"/>
      <c r="AI14" s="726"/>
      <c r="AJ14" s="726"/>
      <c r="AK14" s="726"/>
      <c r="AL14" s="726"/>
      <c r="AM14" s="726"/>
      <c r="AN14" s="726"/>
      <c r="AO14" s="12"/>
      <c r="AP14" s="726"/>
      <c r="AQ14" s="726"/>
      <c r="AR14" s="726"/>
      <c r="AS14" s="726"/>
      <c r="AT14" s="726"/>
      <c r="AU14" s="726"/>
      <c r="AV14" s="726"/>
      <c r="AW14" s="726"/>
      <c r="AX14" s="726"/>
      <c r="AY14" s="726"/>
    </row>
    <row r="15" spans="1:51">
      <c r="P15" s="755" t="s">
        <v>14</v>
      </c>
      <c r="Q15" s="755"/>
      <c r="AG15" s="17"/>
      <c r="AN15" s="755" t="s">
        <v>15</v>
      </c>
      <c r="AO15" s="755"/>
    </row>
    <row r="16" spans="1:51">
      <c r="AF16" s="726"/>
      <c r="AG16" s="19"/>
    </row>
    <row r="17" spans="1:51">
      <c r="A17" s="755" t="s">
        <v>16</v>
      </c>
      <c r="B17" s="755"/>
      <c r="C17" s="755"/>
      <c r="D17" t="s">
        <v>1</v>
      </c>
      <c r="F17" s="752" t="b">
        <v>0</v>
      </c>
      <c r="G17" s="752"/>
      <c r="H17" s="34"/>
      <c r="I17" s="34"/>
      <c r="J17" s="752" t="b">
        <v>0</v>
      </c>
      <c r="K17" s="752"/>
      <c r="L17" s="34"/>
      <c r="M17" s="34"/>
      <c r="N17" s="752" t="b">
        <v>0</v>
      </c>
      <c r="O17" s="752"/>
      <c r="P17" s="34"/>
      <c r="Q17" s="34"/>
      <c r="R17" s="752" t="b">
        <v>0</v>
      </c>
      <c r="S17" s="752"/>
      <c r="T17" s="34"/>
      <c r="U17" s="34"/>
      <c r="V17" s="34"/>
      <c r="W17" s="752" t="b">
        <v>0</v>
      </c>
      <c r="X17" s="752"/>
      <c r="Y17" s="34"/>
      <c r="Z17" s="34"/>
      <c r="AA17" s="752" t="b">
        <v>0</v>
      </c>
      <c r="AB17" s="752"/>
      <c r="AC17" s="34"/>
      <c r="AD17" s="752" t="b">
        <v>0</v>
      </c>
      <c r="AE17" s="752"/>
      <c r="AF17" s="34"/>
      <c r="AG17" s="44"/>
      <c r="AH17" s="750" t="b">
        <v>1</v>
      </c>
      <c r="AI17" s="750"/>
      <c r="AJ17" s="43"/>
      <c r="AK17" s="43"/>
      <c r="AL17" s="750" t="b">
        <v>1</v>
      </c>
      <c r="AM17" s="750"/>
      <c r="AN17" s="43"/>
      <c r="AO17" s="43"/>
      <c r="AP17" s="750" t="b">
        <v>1</v>
      </c>
      <c r="AQ17" s="750"/>
      <c r="AR17" s="43"/>
      <c r="AS17" s="43"/>
      <c r="AT17" s="750" t="b">
        <v>1</v>
      </c>
      <c r="AU17" s="750"/>
      <c r="AV17" s="43"/>
      <c r="AW17" s="43"/>
      <c r="AX17" s="750" t="b">
        <v>1</v>
      </c>
      <c r="AY17" s="750"/>
    </row>
    <row r="18" spans="1:51">
      <c r="M18" s="1"/>
      <c r="N18" s="25"/>
      <c r="O18" s="25"/>
      <c r="P18" s="1"/>
      <c r="Q18" s="1"/>
      <c r="R18" s="25"/>
      <c r="S18" s="25"/>
      <c r="T18" s="1"/>
      <c r="U18" s="1"/>
      <c r="V18" s="1"/>
      <c r="W18" s="25"/>
      <c r="X18" s="25"/>
      <c r="Y18" s="1"/>
      <c r="Z18" s="1"/>
      <c r="AA18" s="25"/>
      <c r="AB18" s="25"/>
      <c r="AC18" s="1"/>
      <c r="AD18" s="25"/>
      <c r="AE18" s="25"/>
      <c r="AF18" s="1"/>
      <c r="AG18" s="17"/>
      <c r="AH18" s="726"/>
      <c r="AI18" s="726"/>
      <c r="AL18" s="726"/>
      <c r="AM18" s="726"/>
      <c r="AP18" s="726"/>
      <c r="AQ18" s="726"/>
    </row>
    <row r="19" spans="1:51">
      <c r="M19" s="1"/>
      <c r="N19" s="25"/>
      <c r="O19" s="25"/>
      <c r="P19" s="1"/>
      <c r="Q19" s="1"/>
      <c r="R19" s="25"/>
      <c r="S19" s="25"/>
      <c r="T19" s="1"/>
      <c r="U19" s="1"/>
      <c r="V19" s="1"/>
      <c r="W19" s="25"/>
      <c r="X19" s="25"/>
      <c r="Y19" s="1"/>
      <c r="Z19" s="1"/>
      <c r="AA19" s="25"/>
      <c r="AB19" s="25"/>
      <c r="AC19" s="1"/>
      <c r="AD19" s="25" t="s">
        <v>17</v>
      </c>
      <c r="AE19" s="29" t="s">
        <v>18</v>
      </c>
      <c r="AF19" s="28"/>
      <c r="AG19" s="17"/>
      <c r="AH19" s="12"/>
      <c r="AI19" s="726"/>
      <c r="AL19" s="726"/>
      <c r="AM19" s="726"/>
      <c r="AP19" s="726"/>
      <c r="AQ19" s="726"/>
    </row>
    <row r="20" spans="1:51">
      <c r="AE20" s="26"/>
      <c r="AF20" s="723"/>
      <c r="AG20" s="27"/>
    </row>
    <row r="21" spans="1:51">
      <c r="AE21" s="11"/>
      <c r="AF21" s="9"/>
      <c r="AG21" s="45"/>
      <c r="AH21" s="10"/>
    </row>
    <row r="22" spans="1:51">
      <c r="AE22" s="30"/>
      <c r="AF22" s="658"/>
      <c r="AG22" s="32"/>
      <c r="AH22" s="2"/>
      <c r="AI22" s="2"/>
    </row>
    <row r="23" spans="1:51">
      <c r="AE23" s="765" t="s">
        <v>19</v>
      </c>
      <c r="AF23" s="765"/>
      <c r="AG23" s="46"/>
    </row>
    <row r="24" spans="1:51">
      <c r="AG24" s="763" t="s">
        <v>8</v>
      </c>
      <c r="AH24" s="764"/>
    </row>
    <row r="26" spans="1:51">
      <c r="A26" s="7" t="s">
        <v>7</v>
      </c>
      <c r="B26" t="s">
        <v>20</v>
      </c>
      <c r="Y26" s="7" t="s">
        <v>10</v>
      </c>
      <c r="Z26" t="s">
        <v>21</v>
      </c>
    </row>
    <row r="27" spans="1:51">
      <c r="B27" t="s">
        <v>22</v>
      </c>
      <c r="Z27" t="s">
        <v>23</v>
      </c>
    </row>
    <row r="28" spans="1:51">
      <c r="B28" t="s">
        <v>24</v>
      </c>
      <c r="Z28" t="s">
        <v>25</v>
      </c>
    </row>
    <row r="31" spans="1:51">
      <c r="A31" s="7" t="s">
        <v>12</v>
      </c>
      <c r="B31" s="20" t="s">
        <v>26</v>
      </c>
      <c r="Y31" s="7" t="s">
        <v>1</v>
      </c>
      <c r="Z31" s="20" t="s">
        <v>27</v>
      </c>
    </row>
    <row r="32" spans="1:51">
      <c r="B32" t="s">
        <v>28</v>
      </c>
      <c r="Z32" t="s">
        <v>29</v>
      </c>
    </row>
    <row r="33" spans="1:34">
      <c r="B33" t="s">
        <v>30</v>
      </c>
      <c r="Z33" s="21" t="s">
        <v>31</v>
      </c>
    </row>
    <row r="34" spans="1:34">
      <c r="B34" t="s">
        <v>32</v>
      </c>
      <c r="Z34" s="21" t="s">
        <v>33</v>
      </c>
    </row>
    <row r="35" spans="1:34">
      <c r="B35" t="s">
        <v>34</v>
      </c>
      <c r="Z35" s="22" t="s">
        <v>35</v>
      </c>
    </row>
    <row r="36" spans="1:34">
      <c r="B36" t="s">
        <v>36</v>
      </c>
      <c r="Z36" s="22" t="s">
        <v>37</v>
      </c>
    </row>
    <row r="37" spans="1:34" ht="3.75" customHeight="1"/>
    <row r="38" spans="1:34">
      <c r="Z38" t="s">
        <v>38</v>
      </c>
    </row>
    <row r="39" spans="1:34">
      <c r="Z39" t="s">
        <v>39</v>
      </c>
    </row>
    <row r="40" spans="1:34">
      <c r="Z40" t="s">
        <v>40</v>
      </c>
    </row>
    <row r="41" spans="1:34">
      <c r="Z41" s="24" t="s">
        <v>41</v>
      </c>
    </row>
    <row r="43" spans="1:34">
      <c r="A43" s="7" t="s">
        <v>17</v>
      </c>
      <c r="B43" s="20" t="s">
        <v>42</v>
      </c>
    </row>
    <row r="44" spans="1:34">
      <c r="B44" t="s">
        <v>43</v>
      </c>
      <c r="O44" s="726" t="s">
        <v>44</v>
      </c>
      <c r="P44" s="33"/>
    </row>
    <row r="46" spans="1:34" ht="14.25" thickBot="1"/>
    <row r="47" spans="1:34">
      <c r="A47" s="221" t="s">
        <v>45</v>
      </c>
      <c r="B47" s="222"/>
      <c r="C47" s="201"/>
      <c r="D47" s="201"/>
      <c r="E47" s="201"/>
      <c r="F47" s="201"/>
      <c r="G47" s="201"/>
      <c r="H47" s="201"/>
      <c r="I47" s="201"/>
      <c r="J47" s="201"/>
      <c r="K47" s="201"/>
      <c r="L47" s="201"/>
      <c r="M47" s="201"/>
      <c r="N47" s="201"/>
      <c r="O47" s="201"/>
      <c r="P47" s="201"/>
      <c r="Q47" s="201"/>
      <c r="R47" s="201"/>
      <c r="S47" s="201"/>
      <c r="T47" s="201"/>
      <c r="U47" s="201"/>
      <c r="V47" s="201"/>
      <c r="W47" s="201"/>
      <c r="X47" s="201"/>
      <c r="Y47" s="201"/>
      <c r="Z47" s="201"/>
      <c r="AA47" s="201"/>
      <c r="AB47" s="201"/>
      <c r="AC47" s="201"/>
      <c r="AD47" s="201"/>
      <c r="AE47" s="201"/>
      <c r="AF47" s="201"/>
      <c r="AG47" s="201"/>
      <c r="AH47" s="202"/>
    </row>
    <row r="48" spans="1:34" ht="5.25" customHeight="1" thickBot="1">
      <c r="A48" s="223"/>
      <c r="B48" s="224"/>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04"/>
    </row>
    <row r="49" spans="1:34">
      <c r="A49" s="203"/>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04"/>
    </row>
    <row r="50" spans="1:34">
      <c r="A50" s="203"/>
      <c r="B50" s="2" t="s">
        <v>46</v>
      </c>
      <c r="C50" s="2" t="s">
        <v>5</v>
      </c>
      <c r="D50" s="2" t="s">
        <v>47</v>
      </c>
      <c r="E50" s="2"/>
      <c r="F50" s="2" t="s">
        <v>48</v>
      </c>
      <c r="G50" s="2"/>
      <c r="H50" s="2"/>
      <c r="I50" s="2" t="s">
        <v>49</v>
      </c>
      <c r="J50" s="2"/>
      <c r="K50" s="2"/>
      <c r="L50" s="2" t="s">
        <v>50</v>
      </c>
      <c r="M50" s="2"/>
      <c r="N50" s="2"/>
      <c r="O50" s="2"/>
      <c r="P50" s="2"/>
      <c r="Q50" s="2"/>
      <c r="R50" s="2"/>
      <c r="S50" s="2"/>
      <c r="T50" s="2"/>
      <c r="U50" s="2"/>
      <c r="V50" s="2"/>
      <c r="W50" s="2"/>
      <c r="X50" s="2"/>
      <c r="Y50" s="2"/>
      <c r="Z50" s="2"/>
      <c r="AA50" s="2"/>
      <c r="AB50" s="2"/>
      <c r="AC50" s="2"/>
      <c r="AD50" s="2"/>
      <c r="AE50" s="2"/>
      <c r="AF50" s="2"/>
      <c r="AG50" s="2"/>
      <c r="AH50" s="204"/>
    </row>
    <row r="51" spans="1:34">
      <c r="A51" s="203"/>
      <c r="B51" s="2" t="s">
        <v>51</v>
      </c>
      <c r="C51" s="2" t="s">
        <v>52</v>
      </c>
      <c r="D51" s="2" t="s">
        <v>53</v>
      </c>
      <c r="E51" s="2"/>
      <c r="F51" s="2" t="s">
        <v>54</v>
      </c>
      <c r="G51" s="2"/>
      <c r="H51" s="2"/>
      <c r="I51" s="2" t="s">
        <v>55</v>
      </c>
      <c r="J51" s="2"/>
      <c r="K51" s="2"/>
      <c r="L51" s="2" t="s">
        <v>56</v>
      </c>
      <c r="M51" s="2"/>
      <c r="N51" s="2"/>
      <c r="O51" s="2"/>
      <c r="P51" s="2"/>
      <c r="Q51" s="2"/>
      <c r="R51" s="2"/>
      <c r="S51" s="2"/>
      <c r="T51" s="2"/>
      <c r="U51" s="2"/>
      <c r="V51" s="2"/>
      <c r="W51" s="2"/>
      <c r="X51" s="2"/>
      <c r="Y51" s="2"/>
      <c r="Z51" s="2"/>
      <c r="AA51" s="2"/>
      <c r="AB51" s="2"/>
      <c r="AC51" s="2"/>
      <c r="AD51" s="2"/>
      <c r="AE51" s="2"/>
      <c r="AF51" s="2"/>
      <c r="AG51" s="2"/>
      <c r="AH51" s="204"/>
    </row>
    <row r="52" spans="1:34">
      <c r="A52" s="203"/>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04"/>
    </row>
    <row r="53" spans="1:34">
      <c r="A53" s="203"/>
      <c r="B53" s="2"/>
      <c r="C53" s="2"/>
      <c r="D53" s="2"/>
      <c r="E53" s="2"/>
      <c r="F53" s="2"/>
      <c r="G53" s="2"/>
      <c r="H53" s="2"/>
      <c r="I53" s="2"/>
      <c r="J53" s="2"/>
      <c r="K53" s="2"/>
      <c r="L53" s="2"/>
      <c r="M53" s="2"/>
      <c r="N53" s="2"/>
      <c r="O53" s="2"/>
      <c r="P53" s="2"/>
      <c r="Q53" s="2"/>
      <c r="R53" s="2" t="s">
        <v>57</v>
      </c>
      <c r="S53" s="2"/>
      <c r="T53" s="2"/>
      <c r="U53" s="2"/>
      <c r="V53" s="2"/>
      <c r="W53" s="2"/>
      <c r="X53" s="2"/>
      <c r="Y53" s="2"/>
      <c r="Z53" s="2"/>
      <c r="AA53" s="2"/>
      <c r="AB53" s="2"/>
      <c r="AC53" s="2"/>
      <c r="AD53" s="2"/>
      <c r="AE53" s="2"/>
      <c r="AF53" s="2"/>
      <c r="AG53" s="2"/>
      <c r="AH53" s="204"/>
    </row>
    <row r="54" spans="1:34">
      <c r="A54" s="203"/>
      <c r="B54" s="196" t="s">
        <v>58</v>
      </c>
      <c r="C54" s="197"/>
      <c r="D54" s="197"/>
      <c r="E54" s="197"/>
      <c r="F54" s="197"/>
      <c r="G54" s="197"/>
      <c r="H54" s="197"/>
      <c r="I54" s="197"/>
      <c r="J54" s="197"/>
      <c r="K54" s="197"/>
      <c r="L54" s="197"/>
      <c r="M54" s="197"/>
      <c r="N54" s="197"/>
      <c r="O54" s="197"/>
      <c r="P54" s="197"/>
      <c r="Q54" s="198"/>
      <c r="R54" s="2"/>
      <c r="S54" s="2"/>
      <c r="T54" s="2" t="s">
        <v>59</v>
      </c>
      <c r="U54" s="2"/>
      <c r="V54" s="2"/>
      <c r="W54" s="2"/>
      <c r="X54" s="2"/>
      <c r="Y54" s="2"/>
      <c r="Z54" s="2"/>
      <c r="AA54" s="2"/>
      <c r="AB54" s="2"/>
      <c r="AC54" s="2"/>
      <c r="AD54" s="2"/>
      <c r="AE54" s="2"/>
      <c r="AF54" s="2"/>
      <c r="AG54" s="2"/>
      <c r="AH54" s="204"/>
    </row>
    <row r="55" spans="1:34">
      <c r="A55" s="203"/>
      <c r="B55" s="199" t="s">
        <v>60</v>
      </c>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04"/>
    </row>
    <row r="56" spans="1:34">
      <c r="A56" s="203"/>
      <c r="B56" s="2"/>
      <c r="C56" s="2"/>
      <c r="D56" s="2"/>
      <c r="E56" s="2" t="s">
        <v>57</v>
      </c>
      <c r="F56" s="2"/>
      <c r="G56" s="2"/>
      <c r="H56" s="2"/>
      <c r="I56" s="2"/>
      <c r="J56" s="2"/>
      <c r="K56" s="2"/>
      <c r="L56" s="2"/>
      <c r="M56" s="2"/>
      <c r="N56" s="2" t="s">
        <v>57</v>
      </c>
      <c r="O56" s="2"/>
      <c r="P56" s="2"/>
      <c r="Q56" s="2"/>
      <c r="R56" s="2"/>
      <c r="S56" s="2"/>
      <c r="T56" s="2"/>
      <c r="U56" s="2"/>
      <c r="V56" s="2"/>
      <c r="W56" s="2"/>
      <c r="X56" s="2"/>
      <c r="Y56" s="2"/>
      <c r="Z56" s="2"/>
      <c r="AA56" s="2"/>
      <c r="AB56" s="2"/>
      <c r="AC56" s="2"/>
      <c r="AD56" s="2"/>
      <c r="AE56" s="2"/>
      <c r="AF56" s="2"/>
      <c r="AG56" s="2"/>
      <c r="AH56" s="204"/>
    </row>
    <row r="57" spans="1:34">
      <c r="A57" s="203"/>
      <c r="B57" s="196" t="s">
        <v>61</v>
      </c>
      <c r="C57" s="198"/>
      <c r="D57" s="200"/>
      <c r="E57" s="2"/>
      <c r="F57" s="205"/>
      <c r="G57" s="205"/>
      <c r="H57" s="2"/>
      <c r="I57" s="196" t="s">
        <v>62</v>
      </c>
      <c r="J57" s="197"/>
      <c r="K57" s="197"/>
      <c r="L57" s="197"/>
      <c r="M57" s="198"/>
      <c r="N57" s="2"/>
      <c r="O57" s="2"/>
      <c r="P57" s="2"/>
      <c r="Q57" s="2"/>
      <c r="R57" s="196" t="s">
        <v>63</v>
      </c>
      <c r="S57" s="197"/>
      <c r="T57" s="197"/>
      <c r="U57" s="197"/>
      <c r="V57" s="197"/>
      <c r="W57" s="198"/>
      <c r="X57" s="205" t="s">
        <v>64</v>
      </c>
      <c r="Y57" s="2"/>
      <c r="Z57" s="2"/>
      <c r="AA57" s="2"/>
      <c r="AB57" s="2"/>
      <c r="AC57" s="2"/>
      <c r="AD57" s="2"/>
      <c r="AE57" s="2"/>
      <c r="AF57" s="2"/>
      <c r="AG57" s="2"/>
      <c r="AH57" s="204"/>
    </row>
    <row r="58" spans="1:34">
      <c r="A58" s="203"/>
      <c r="B58" s="199"/>
      <c r="C58" s="2"/>
      <c r="D58" s="2"/>
      <c r="E58" s="2" t="s">
        <v>65</v>
      </c>
      <c r="F58" s="2"/>
      <c r="G58" s="2"/>
      <c r="H58" s="2"/>
      <c r="I58" s="2" t="s">
        <v>66</v>
      </c>
      <c r="J58" s="2"/>
      <c r="K58" s="2"/>
      <c r="L58" s="2"/>
      <c r="M58" s="2"/>
      <c r="N58" s="2"/>
      <c r="O58" s="2"/>
      <c r="P58" s="2"/>
      <c r="Q58" s="2"/>
      <c r="R58" s="2"/>
      <c r="S58" s="2"/>
      <c r="T58" s="2"/>
      <c r="U58" s="2"/>
      <c r="V58" s="2"/>
      <c r="W58" s="2"/>
      <c r="X58" s="2"/>
      <c r="Y58" s="2"/>
      <c r="Z58" s="2"/>
      <c r="AA58" s="2"/>
      <c r="AB58" s="2"/>
      <c r="AC58" s="2"/>
      <c r="AD58" s="2"/>
      <c r="AE58" s="2"/>
      <c r="AF58" s="2"/>
      <c r="AG58" s="2"/>
      <c r="AH58" s="204"/>
    </row>
    <row r="59" spans="1:34">
      <c r="A59" s="203"/>
      <c r="B59" s="2"/>
      <c r="C59" s="2"/>
      <c r="D59" s="2"/>
      <c r="E59" s="2"/>
      <c r="F59" s="2"/>
      <c r="G59" s="2"/>
      <c r="H59" s="2"/>
      <c r="I59" s="2"/>
      <c r="J59" s="2"/>
      <c r="K59" s="2"/>
      <c r="L59" s="2"/>
      <c r="M59" s="2"/>
      <c r="N59" s="2"/>
      <c r="O59" s="2"/>
      <c r="P59" s="2" t="s">
        <v>67</v>
      </c>
      <c r="Q59" s="2"/>
      <c r="R59" s="2"/>
      <c r="S59" s="2"/>
      <c r="T59" s="2"/>
      <c r="U59" s="2"/>
      <c r="V59" s="2"/>
      <c r="W59" s="2"/>
      <c r="X59" s="2"/>
      <c r="Y59" s="2"/>
      <c r="Z59" s="2"/>
      <c r="AA59" s="2"/>
      <c r="AB59" s="2"/>
      <c r="AC59" s="2"/>
      <c r="AD59" s="2"/>
      <c r="AE59" s="2"/>
      <c r="AF59" s="2"/>
      <c r="AG59" s="2"/>
      <c r="AH59" s="204"/>
    </row>
    <row r="60" spans="1:34">
      <c r="A60" s="203"/>
      <c r="B60" s="2"/>
      <c r="C60" s="2"/>
      <c r="D60" s="2"/>
      <c r="E60" s="2"/>
      <c r="F60" s="2"/>
      <c r="G60" s="2"/>
      <c r="H60" s="2"/>
      <c r="I60" s="2"/>
      <c r="J60" s="2"/>
      <c r="K60" s="2"/>
      <c r="L60" s="2"/>
      <c r="M60" s="2"/>
      <c r="N60" s="2"/>
      <c r="O60" s="2"/>
      <c r="P60" s="2"/>
      <c r="Q60" s="2"/>
      <c r="R60" s="2"/>
      <c r="S60" s="2"/>
      <c r="T60" s="2"/>
      <c r="U60" s="2"/>
      <c r="V60" s="2"/>
      <c r="W60" s="2"/>
      <c r="X60" s="2"/>
      <c r="Y60" s="2" t="s">
        <v>57</v>
      </c>
      <c r="Z60" s="2"/>
      <c r="AA60" s="2"/>
      <c r="AB60" s="2"/>
      <c r="AC60" s="2"/>
      <c r="AD60" s="2"/>
      <c r="AE60" s="2"/>
      <c r="AF60" s="2"/>
      <c r="AG60" s="2"/>
      <c r="AH60" s="204"/>
    </row>
    <row r="61" spans="1:34">
      <c r="A61" s="203"/>
      <c r="B61" s="2"/>
      <c r="C61" s="2"/>
      <c r="D61" s="2"/>
      <c r="E61" s="2"/>
      <c r="F61" s="2"/>
      <c r="G61" s="2"/>
      <c r="H61" s="2"/>
      <c r="I61" s="2"/>
      <c r="J61" s="2"/>
      <c r="K61" s="2"/>
      <c r="L61" s="2"/>
      <c r="M61" s="2"/>
      <c r="N61" s="2"/>
      <c r="O61" s="196" t="s">
        <v>68</v>
      </c>
      <c r="P61" s="197"/>
      <c r="Q61" s="197"/>
      <c r="R61" s="197"/>
      <c r="S61" s="197"/>
      <c r="T61" s="197"/>
      <c r="U61" s="197"/>
      <c r="V61" s="197"/>
      <c r="W61" s="197"/>
      <c r="X61" s="198"/>
      <c r="Y61" s="2"/>
      <c r="Z61" s="2"/>
      <c r="AA61" s="196" t="s">
        <v>69</v>
      </c>
      <c r="AB61" s="197"/>
      <c r="AC61" s="198"/>
      <c r="AD61" s="205" t="s">
        <v>64</v>
      </c>
      <c r="AE61" s="2"/>
      <c r="AF61" s="2"/>
      <c r="AG61" s="2"/>
      <c r="AH61" s="204"/>
    </row>
    <row r="62" spans="1:34">
      <c r="A62" s="203"/>
      <c r="B62" s="2"/>
      <c r="C62" s="2"/>
      <c r="D62" s="2"/>
      <c r="E62" s="2"/>
      <c r="F62" s="2"/>
      <c r="G62" s="2"/>
      <c r="H62" s="2"/>
      <c r="I62" s="2"/>
      <c r="J62" s="2"/>
      <c r="K62" s="2"/>
      <c r="L62" s="2"/>
      <c r="M62" s="2"/>
      <c r="N62" s="2"/>
      <c r="O62" s="2" t="s">
        <v>70</v>
      </c>
      <c r="P62" s="2"/>
      <c r="Q62" s="2"/>
      <c r="R62" s="2"/>
      <c r="S62" s="2"/>
      <c r="T62" s="2"/>
      <c r="U62" s="2"/>
      <c r="V62" s="2"/>
      <c r="W62" s="2"/>
      <c r="X62" s="2"/>
      <c r="Y62" s="2"/>
      <c r="Z62" s="2"/>
      <c r="AA62" s="2"/>
      <c r="AB62" s="2"/>
      <c r="AC62" s="2"/>
      <c r="AD62" s="2"/>
      <c r="AE62" s="2"/>
      <c r="AF62" s="2"/>
      <c r="AG62" s="2"/>
      <c r="AH62" s="204"/>
    </row>
    <row r="63" spans="1:34">
      <c r="A63" s="203"/>
      <c r="B63" s="2"/>
      <c r="C63" s="2"/>
      <c r="D63" s="2"/>
      <c r="E63" s="2"/>
      <c r="F63" s="2"/>
      <c r="G63" s="2"/>
      <c r="H63" s="2"/>
      <c r="I63" s="2"/>
      <c r="J63" s="2"/>
      <c r="K63" s="2"/>
      <c r="L63" s="2"/>
      <c r="M63" s="2"/>
      <c r="N63" s="2"/>
      <c r="O63" s="2" t="s">
        <v>71</v>
      </c>
      <c r="P63" s="2"/>
      <c r="Q63" s="2"/>
      <c r="R63" s="2"/>
      <c r="S63" s="2"/>
      <c r="T63" s="2"/>
      <c r="U63" s="2"/>
      <c r="V63" s="2"/>
      <c r="W63" s="2"/>
      <c r="X63" s="2"/>
      <c r="Y63" s="2"/>
      <c r="Z63" s="2"/>
      <c r="AA63" s="2"/>
      <c r="AB63" s="2"/>
      <c r="AC63" s="2"/>
      <c r="AD63" s="2"/>
      <c r="AE63" s="2"/>
      <c r="AF63" s="2"/>
      <c r="AG63" s="2"/>
      <c r="AH63" s="204"/>
    </row>
    <row r="64" spans="1:34">
      <c r="A64" s="203"/>
      <c r="B64" s="2"/>
      <c r="C64" s="2"/>
      <c r="D64" s="2"/>
      <c r="E64" s="2"/>
      <c r="F64" s="2"/>
      <c r="G64" s="2"/>
      <c r="H64" s="2"/>
      <c r="I64" s="2"/>
      <c r="J64" s="2"/>
      <c r="K64" s="2"/>
      <c r="L64" s="2"/>
      <c r="M64" s="2"/>
      <c r="N64" s="2"/>
      <c r="O64" s="2"/>
      <c r="P64" s="2"/>
      <c r="Q64" s="2"/>
      <c r="R64" s="2"/>
      <c r="S64" s="2"/>
      <c r="T64" s="2"/>
      <c r="U64" s="2"/>
      <c r="V64" s="2"/>
      <c r="W64" s="2"/>
      <c r="X64" s="2"/>
      <c r="Y64" s="2"/>
      <c r="Z64" s="2" t="s">
        <v>60</v>
      </c>
      <c r="AA64" s="2"/>
      <c r="AB64" s="2"/>
      <c r="AC64" s="2"/>
      <c r="AD64" s="2"/>
      <c r="AE64" s="2"/>
      <c r="AF64" s="2"/>
      <c r="AG64" s="2"/>
      <c r="AH64" s="204"/>
    </row>
    <row r="65" spans="1:34">
      <c r="A65" s="203"/>
      <c r="B65" s="199" t="s">
        <v>60</v>
      </c>
      <c r="C65" s="2" t="s">
        <v>72</v>
      </c>
      <c r="D65" s="2"/>
      <c r="E65" s="2"/>
      <c r="F65" s="2"/>
      <c r="G65" s="2"/>
      <c r="H65" s="2"/>
      <c r="I65" s="2"/>
      <c r="J65" s="2"/>
      <c r="K65" s="2"/>
      <c r="L65" s="2"/>
      <c r="M65" s="2"/>
      <c r="N65" s="2"/>
      <c r="O65" s="2"/>
      <c r="P65" s="2"/>
      <c r="Q65" s="2"/>
      <c r="R65" s="2"/>
      <c r="S65" s="2"/>
      <c r="T65" s="2"/>
      <c r="U65" s="2"/>
      <c r="V65" s="2"/>
      <c r="W65" s="2"/>
      <c r="X65" s="2"/>
      <c r="Y65" s="196" t="s">
        <v>73</v>
      </c>
      <c r="Z65" s="197"/>
      <c r="AA65" s="197"/>
      <c r="AB65" s="197"/>
      <c r="AC65" s="198"/>
      <c r="AD65" s="205" t="s">
        <v>64</v>
      </c>
      <c r="AE65" s="2"/>
      <c r="AF65" s="2"/>
      <c r="AG65" s="2"/>
      <c r="AH65" s="204"/>
    </row>
    <row r="66" spans="1:34">
      <c r="A66" s="203"/>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04"/>
    </row>
    <row r="67" spans="1:34">
      <c r="A67" s="203"/>
      <c r="B67" s="2"/>
      <c r="C67" s="2"/>
      <c r="D67" s="2"/>
      <c r="E67" s="2"/>
      <c r="F67" s="2"/>
      <c r="G67" s="2"/>
      <c r="H67" s="2"/>
      <c r="I67" s="2"/>
      <c r="J67" s="2"/>
      <c r="K67" s="2" t="s">
        <v>57</v>
      </c>
      <c r="L67" s="2"/>
      <c r="M67" s="2"/>
      <c r="N67" s="2"/>
      <c r="O67" s="2"/>
      <c r="P67" s="2"/>
      <c r="Q67" s="2"/>
      <c r="R67" s="2"/>
      <c r="S67" s="2"/>
      <c r="T67" s="2"/>
      <c r="U67" s="2"/>
      <c r="V67" s="2"/>
      <c r="W67" s="2"/>
      <c r="X67" s="2"/>
      <c r="Y67" s="2"/>
      <c r="Z67" s="2"/>
      <c r="AA67" s="2"/>
      <c r="AB67" s="2"/>
      <c r="AC67" s="2"/>
      <c r="AD67" s="2"/>
      <c r="AE67" s="2"/>
      <c r="AF67" s="2"/>
      <c r="AG67" s="2"/>
      <c r="AH67" s="204"/>
    </row>
    <row r="68" spans="1:34">
      <c r="A68" s="203"/>
      <c r="B68" s="196" t="s">
        <v>74</v>
      </c>
      <c r="C68" s="197"/>
      <c r="D68" s="197"/>
      <c r="E68" s="197"/>
      <c r="F68" s="197"/>
      <c r="G68" s="197"/>
      <c r="H68" s="197"/>
      <c r="I68" s="198"/>
      <c r="J68" s="2"/>
      <c r="K68" s="2"/>
      <c r="L68" s="205"/>
      <c r="M68" s="2"/>
      <c r="N68" s="2"/>
      <c r="O68" s="196" t="s">
        <v>69</v>
      </c>
      <c r="P68" s="197"/>
      <c r="Q68" s="198"/>
      <c r="R68" s="205" t="s">
        <v>75</v>
      </c>
      <c r="S68" s="2"/>
      <c r="T68" s="2"/>
      <c r="U68" s="2"/>
      <c r="V68" s="2"/>
      <c r="W68" s="2"/>
      <c r="X68" s="2"/>
      <c r="Y68" s="2"/>
      <c r="Z68" s="2"/>
      <c r="AA68" s="2"/>
      <c r="AB68" s="2"/>
      <c r="AC68" s="2"/>
      <c r="AD68" s="2"/>
      <c r="AE68" s="2"/>
      <c r="AF68" s="2"/>
      <c r="AG68" s="2"/>
      <c r="AH68" s="204"/>
    </row>
    <row r="69" spans="1:34">
      <c r="A69" s="203"/>
      <c r="B69" s="199" t="s">
        <v>60</v>
      </c>
      <c r="C69" s="2"/>
      <c r="D69" s="2"/>
      <c r="E69" s="2"/>
      <c r="F69" s="2"/>
      <c r="G69" s="2"/>
      <c r="H69" s="2"/>
      <c r="I69" s="2"/>
      <c r="J69" s="2"/>
      <c r="K69" s="2" t="s">
        <v>76</v>
      </c>
      <c r="L69" s="2"/>
      <c r="M69" s="2"/>
      <c r="N69" s="2"/>
      <c r="O69" s="2"/>
      <c r="P69" s="2"/>
      <c r="Q69" s="2"/>
      <c r="R69" s="2"/>
      <c r="S69" s="2"/>
      <c r="T69" s="2"/>
      <c r="U69" s="2"/>
      <c r="V69" s="2"/>
      <c r="W69" s="2"/>
      <c r="X69" s="2"/>
      <c r="Y69" s="2"/>
      <c r="Z69" s="2"/>
      <c r="AA69" s="2"/>
      <c r="AB69" s="2"/>
      <c r="AC69" s="2"/>
      <c r="AD69" s="2"/>
      <c r="AE69" s="2"/>
      <c r="AF69" s="2"/>
      <c r="AG69" s="2"/>
      <c r="AH69" s="204"/>
    </row>
    <row r="70" spans="1:34">
      <c r="A70" s="203"/>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04"/>
    </row>
    <row r="71" spans="1:34">
      <c r="A71" s="203"/>
      <c r="B71" s="206" t="s">
        <v>77</v>
      </c>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04"/>
    </row>
    <row r="72" spans="1:34">
      <c r="A72" s="203"/>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04"/>
    </row>
    <row r="73" spans="1:34" ht="14.25" thickBot="1">
      <c r="A73" s="207"/>
      <c r="B73" s="208"/>
      <c r="C73" s="208"/>
      <c r="D73" s="208"/>
      <c r="E73" s="208"/>
      <c r="F73" s="208"/>
      <c r="G73" s="208"/>
      <c r="H73" s="208"/>
      <c r="I73" s="208"/>
      <c r="J73" s="208"/>
      <c r="K73" s="208"/>
      <c r="L73" s="208"/>
      <c r="M73" s="208"/>
      <c r="N73" s="208"/>
      <c r="O73" s="208"/>
      <c r="P73" s="208"/>
      <c r="Q73" s="208"/>
      <c r="R73" s="208"/>
      <c r="S73" s="208"/>
      <c r="T73" s="208"/>
      <c r="U73" s="208"/>
      <c r="V73" s="208"/>
      <c r="W73" s="208"/>
      <c r="X73" s="208"/>
      <c r="Y73" s="208"/>
      <c r="Z73" s="208"/>
      <c r="AA73" s="208"/>
      <c r="AB73" s="208"/>
      <c r="AC73" s="208"/>
      <c r="AD73" s="208"/>
      <c r="AE73" s="208"/>
      <c r="AF73" s="208"/>
      <c r="AG73" s="208"/>
      <c r="AH73" s="209"/>
    </row>
  </sheetData>
  <sheetProtection password="E6D7" sheet="1" objects="1" scenarios="1"/>
  <mergeCells count="82">
    <mergeCell ref="AN9:AO9"/>
    <mergeCell ref="W7:X7"/>
    <mergeCell ref="Y7:Z7"/>
    <mergeCell ref="AA7:AB7"/>
    <mergeCell ref="AD3:AE3"/>
    <mergeCell ref="AH3:AI3"/>
    <mergeCell ref="AL3:AM3"/>
    <mergeCell ref="AL7:AM7"/>
    <mergeCell ref="W3:X3"/>
    <mergeCell ref="AP3:AQ3"/>
    <mergeCell ref="R17:S17"/>
    <mergeCell ref="N17:O17"/>
    <mergeCell ref="N13:O13"/>
    <mergeCell ref="P15:Q15"/>
    <mergeCell ref="R3:S3"/>
    <mergeCell ref="R10:S10"/>
    <mergeCell ref="R7:S7"/>
    <mergeCell ref="AA10:AB10"/>
    <mergeCell ref="AA17:AB17"/>
    <mergeCell ref="AP7:AQ7"/>
    <mergeCell ref="AH17:AI17"/>
    <mergeCell ref="AL17:AM17"/>
    <mergeCell ref="AP17:AQ17"/>
    <mergeCell ref="AP13:AQ13"/>
    <mergeCell ref="AN15:AO15"/>
    <mergeCell ref="AG24:AH24"/>
    <mergeCell ref="AE23:AF23"/>
    <mergeCell ref="AD17:AE17"/>
    <mergeCell ref="Y10:Z10"/>
    <mergeCell ref="AD7:AE7"/>
    <mergeCell ref="AH7:AI7"/>
    <mergeCell ref="AH12:AI12"/>
    <mergeCell ref="AL12:AM12"/>
    <mergeCell ref="AF2:AG2"/>
    <mergeCell ref="AF1:AG1"/>
    <mergeCell ref="AA3:AB3"/>
    <mergeCell ref="N12:O12"/>
    <mergeCell ref="R12:S12"/>
    <mergeCell ref="W12:X12"/>
    <mergeCell ref="AA12:AB12"/>
    <mergeCell ref="AD12:AE12"/>
    <mergeCell ref="N3:O3"/>
    <mergeCell ref="P6:Q6"/>
    <mergeCell ref="N7:O7"/>
    <mergeCell ref="A17:C17"/>
    <mergeCell ref="A12:C12"/>
    <mergeCell ref="N10:O10"/>
    <mergeCell ref="AL10:AM10"/>
    <mergeCell ref="AP10:AQ10"/>
    <mergeCell ref="AD10:AE10"/>
    <mergeCell ref="AH10:AI10"/>
    <mergeCell ref="W10:X10"/>
    <mergeCell ref="A10:C10"/>
    <mergeCell ref="F10:G10"/>
    <mergeCell ref="J10:K10"/>
    <mergeCell ref="J12:K12"/>
    <mergeCell ref="J13:K13"/>
    <mergeCell ref="F12:G12"/>
    <mergeCell ref="F13:G13"/>
    <mergeCell ref="AP12:AQ12"/>
    <mergeCell ref="F3:G3"/>
    <mergeCell ref="J3:K3"/>
    <mergeCell ref="F7:G7"/>
    <mergeCell ref="J7:K7"/>
    <mergeCell ref="A7:C7"/>
    <mergeCell ref="AT13:AU13"/>
    <mergeCell ref="AX13:AY13"/>
    <mergeCell ref="AT17:AU17"/>
    <mergeCell ref="AX17:AY17"/>
    <mergeCell ref="F17:G17"/>
    <mergeCell ref="J17:K17"/>
    <mergeCell ref="W17:X17"/>
    <mergeCell ref="AT10:AU10"/>
    <mergeCell ref="AV10:AW10"/>
    <mergeCell ref="AX10:AY10"/>
    <mergeCell ref="AT12:AU12"/>
    <mergeCell ref="AX12:AY12"/>
    <mergeCell ref="AT3:AU3"/>
    <mergeCell ref="AX3:AY3"/>
    <mergeCell ref="AT7:AU7"/>
    <mergeCell ref="AV7:AW7"/>
    <mergeCell ref="AX7:AY7"/>
  </mergeCells>
  <phoneticPr fontId="2"/>
  <pageMargins left="0.19" right="0.2" top="0.51" bottom="0.36" header="0.25" footer="0.16"/>
  <pageSetup paperSize="9" scale="76" orientation="landscape" r:id="rId1"/>
  <headerFooter alignWithMargins="0">
    <oddHeader>&amp;R&amp;D</oddHeader>
    <oddFooter>&amp;L&amp;F&amp;R&amp;A</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pageSetUpPr autoPageBreaks="0"/>
  </sheetPr>
  <dimension ref="A1:BE46"/>
  <sheetViews>
    <sheetView showGridLines="0" topLeftCell="AJ1" zoomScale="85" zoomScaleNormal="100" workbookViewId="0">
      <selection activeCell="AF34" sqref="AF34"/>
    </sheetView>
  </sheetViews>
  <sheetFormatPr defaultRowHeight="13.5"/>
  <cols>
    <col min="2" max="2" width="3" bestFit="1" customWidth="1"/>
    <col min="3" max="3" width="2.75" customWidth="1"/>
    <col min="4" max="4" width="4" bestFit="1" customWidth="1"/>
    <col min="5" max="5" width="2.625" customWidth="1"/>
    <col min="6" max="6" width="7.375" bestFit="1" customWidth="1"/>
    <col min="7" max="7" width="9.125" bestFit="1" customWidth="1"/>
    <col min="8" max="9" width="3.375" customWidth="1"/>
    <col min="10" max="10" width="3" bestFit="1" customWidth="1"/>
    <col min="11" max="11" width="2.375" customWidth="1"/>
    <col min="12" max="12" width="4" bestFit="1" customWidth="1"/>
    <col min="13" max="13" width="2.875" customWidth="1"/>
    <col min="14" max="14" width="4.875" bestFit="1" customWidth="1"/>
    <col min="15" max="15" width="6" bestFit="1" customWidth="1"/>
    <col min="16" max="16" width="2.875" customWidth="1"/>
    <col min="17" max="18" width="3.375" customWidth="1"/>
    <col min="19" max="19" width="3" bestFit="1" customWidth="1"/>
    <col min="20" max="20" width="1.625" customWidth="1"/>
    <col min="22" max="23" width="4.25" customWidth="1"/>
    <col min="24" max="24" width="3" bestFit="1" customWidth="1"/>
    <col min="25" max="25" width="1.375" customWidth="1"/>
    <col min="26" max="26" width="5.625" bestFit="1" customWidth="1"/>
    <col min="27" max="27" width="15.625" bestFit="1" customWidth="1"/>
    <col min="28" max="29" width="3.375" customWidth="1"/>
    <col min="31" max="31" width="1" customWidth="1"/>
    <col min="32" max="32" width="16.375" customWidth="1"/>
    <col min="33" max="33" width="2.75" customWidth="1"/>
    <col min="35" max="35" width="1.125" customWidth="1"/>
    <col min="36" max="36" width="3" bestFit="1" customWidth="1"/>
    <col min="37" max="37" width="2" customWidth="1"/>
    <col min="38" max="38" width="13.125" bestFit="1" customWidth="1"/>
    <col min="42" max="42" width="4.625" customWidth="1"/>
    <col min="43" max="44" width="2.125" customWidth="1"/>
    <col min="45" max="45" width="8.75" customWidth="1"/>
    <col min="46" max="46" width="2.25" customWidth="1"/>
    <col min="47" max="48" width="3.625" customWidth="1"/>
    <col min="50" max="50" width="1.25" customWidth="1"/>
    <col min="57" max="57" width="3.625" customWidth="1"/>
  </cols>
  <sheetData>
    <row r="1" spans="1:57" ht="18" customHeight="1">
      <c r="A1" s="295" t="s">
        <v>78</v>
      </c>
      <c r="AG1" s="275"/>
      <c r="AH1" s="268" t="s">
        <v>79</v>
      </c>
      <c r="AJ1" s="767" t="s">
        <v>80</v>
      </c>
      <c r="AL1" s="766" t="s">
        <v>81</v>
      </c>
      <c r="AM1" s="766"/>
      <c r="AN1" s="768" t="b">
        <v>1</v>
      </c>
      <c r="AO1" s="768"/>
      <c r="AP1" s="766" t="s">
        <v>82</v>
      </c>
      <c r="AQ1" s="766"/>
      <c r="AR1" s="766"/>
      <c r="AS1" s="766"/>
      <c r="AU1" s="277" t="s">
        <v>83</v>
      </c>
      <c r="AV1" s="262"/>
      <c r="AW1" s="262"/>
      <c r="AX1" s="262"/>
      <c r="AY1" s="262"/>
      <c r="AZ1" s="262"/>
      <c r="BA1" s="260"/>
      <c r="BE1" s="275"/>
    </row>
    <row r="2" spans="1:57" ht="18" customHeight="1" thickBot="1">
      <c r="AG2" s="275"/>
      <c r="AH2" s="269" t="s">
        <v>84</v>
      </c>
      <c r="AJ2" s="767"/>
      <c r="AL2" s="766"/>
      <c r="AM2" s="766"/>
      <c r="AP2" s="766"/>
      <c r="AQ2" s="766"/>
      <c r="AR2" s="766"/>
      <c r="AS2" s="766"/>
      <c r="AU2" s="278" t="s">
        <v>85</v>
      </c>
      <c r="AV2" s="263"/>
      <c r="AW2" s="263"/>
      <c r="AX2" s="263"/>
      <c r="AY2" s="263"/>
      <c r="AZ2" s="263"/>
      <c r="BA2" s="261"/>
      <c r="BE2" s="275"/>
    </row>
    <row r="3" spans="1:57" ht="18" customHeight="1">
      <c r="B3" s="254" t="s">
        <v>80</v>
      </c>
      <c r="D3" s="254" t="s">
        <v>86</v>
      </c>
      <c r="F3" t="s">
        <v>87</v>
      </c>
      <c r="G3" t="s">
        <v>88</v>
      </c>
      <c r="H3" s="768" t="b">
        <v>1</v>
      </c>
      <c r="I3" s="768"/>
      <c r="J3" s="766">
        <v>0</v>
      </c>
      <c r="Q3" s="768" t="b">
        <v>1</v>
      </c>
      <c r="R3" s="768"/>
      <c r="S3" s="766">
        <v>0</v>
      </c>
      <c r="AG3" s="275"/>
      <c r="AH3" s="275"/>
      <c r="AI3" s="275"/>
      <c r="AJ3" s="276" t="s">
        <v>89</v>
      </c>
      <c r="AK3" s="275"/>
      <c r="AL3" s="24" t="s">
        <v>90</v>
      </c>
      <c r="BE3" s="275"/>
    </row>
    <row r="4" spans="1:57" ht="18" customHeight="1">
      <c r="F4" t="s">
        <v>91</v>
      </c>
      <c r="G4" t="s">
        <v>92</v>
      </c>
      <c r="J4" s="766"/>
      <c r="Q4" s="731"/>
      <c r="S4" s="766"/>
      <c r="AG4" s="275"/>
      <c r="AH4" s="275"/>
      <c r="AI4" s="275"/>
      <c r="AJ4" s="275"/>
      <c r="AK4" s="275"/>
      <c r="AL4" s="24" t="s">
        <v>93</v>
      </c>
      <c r="AP4" s="767" t="s">
        <v>80</v>
      </c>
      <c r="AR4" s="766" t="s">
        <v>94</v>
      </c>
      <c r="AS4" s="766"/>
      <c r="AT4" s="766"/>
      <c r="AU4" s="768" t="b">
        <v>1</v>
      </c>
      <c r="AV4" s="768"/>
      <c r="AW4" s="766" t="s">
        <v>95</v>
      </c>
      <c r="AX4" s="266"/>
      <c r="AY4" s="277" t="s">
        <v>96</v>
      </c>
      <c r="AZ4" s="262"/>
      <c r="BA4" s="262"/>
      <c r="BB4" s="262"/>
      <c r="BC4" s="262"/>
      <c r="BD4" s="260"/>
      <c r="BE4" s="275"/>
    </row>
    <row r="5" spans="1:57" ht="18" customHeight="1">
      <c r="F5" t="s">
        <v>91</v>
      </c>
      <c r="G5" t="s">
        <v>97</v>
      </c>
      <c r="AJ5" s="275"/>
      <c r="AK5" s="275"/>
      <c r="AL5" s="24" t="s">
        <v>98</v>
      </c>
      <c r="AO5" s="730" t="b">
        <v>0</v>
      </c>
      <c r="AP5" s="767"/>
      <c r="AR5" s="766"/>
      <c r="AS5" s="766"/>
      <c r="AT5" s="766"/>
      <c r="AW5" s="766"/>
      <c r="AX5" s="266"/>
      <c r="AY5" s="278" t="s">
        <v>99</v>
      </c>
      <c r="AZ5" s="263"/>
      <c r="BA5" s="263"/>
      <c r="BB5" s="263"/>
      <c r="BC5" s="263"/>
      <c r="BD5" s="261"/>
      <c r="BE5" s="275"/>
    </row>
    <row r="6" spans="1:57" ht="18" customHeight="1">
      <c r="F6" t="s">
        <v>91</v>
      </c>
      <c r="G6" t="s">
        <v>100</v>
      </c>
      <c r="J6" s="767" t="s">
        <v>80</v>
      </c>
      <c r="L6" s="767" t="s">
        <v>86</v>
      </c>
      <c r="N6" t="s">
        <v>101</v>
      </c>
      <c r="O6" t="s">
        <v>102</v>
      </c>
      <c r="S6" s="767" t="s">
        <v>80</v>
      </c>
      <c r="U6" s="766" t="s">
        <v>103</v>
      </c>
      <c r="V6" s="768" t="b">
        <v>1</v>
      </c>
      <c r="W6" s="768"/>
      <c r="X6" s="767" t="s">
        <v>80</v>
      </c>
      <c r="Y6" s="732"/>
      <c r="Z6" s="780" t="s">
        <v>104</v>
      </c>
      <c r="AA6" s="780"/>
      <c r="AB6" s="768" t="b">
        <v>1</v>
      </c>
      <c r="AC6" s="768"/>
      <c r="AD6" s="766" t="s">
        <v>105</v>
      </c>
      <c r="AE6" s="731"/>
      <c r="AF6" s="277" t="s">
        <v>106</v>
      </c>
      <c r="AG6" s="270"/>
      <c r="AH6" s="260"/>
      <c r="AJ6" s="275"/>
      <c r="AK6" s="275"/>
      <c r="AL6" s="24" t="s">
        <v>107</v>
      </c>
      <c r="BE6" s="275"/>
    </row>
    <row r="7" spans="1:57" ht="18" customHeight="1">
      <c r="F7" t="s">
        <v>91</v>
      </c>
      <c r="G7" t="s">
        <v>108</v>
      </c>
      <c r="H7" s="768" t="b">
        <v>0</v>
      </c>
      <c r="I7" s="768"/>
      <c r="J7" s="767"/>
      <c r="L7" s="767"/>
      <c r="N7" s="256" t="s">
        <v>109</v>
      </c>
      <c r="O7" s="256" t="s">
        <v>110</v>
      </c>
      <c r="Q7" s="768" t="b">
        <v>0</v>
      </c>
      <c r="R7" s="768"/>
      <c r="S7" s="767"/>
      <c r="U7" s="766"/>
      <c r="X7" s="767"/>
      <c r="Y7" s="732"/>
      <c r="Z7" s="780"/>
      <c r="AA7" s="780"/>
      <c r="AD7" s="766"/>
      <c r="AE7" s="731"/>
      <c r="AF7" s="278" t="s">
        <v>111</v>
      </c>
      <c r="AG7" s="271"/>
      <c r="AH7" s="261"/>
      <c r="AJ7" s="275"/>
      <c r="AK7" s="275"/>
      <c r="AL7" s="275"/>
      <c r="AM7" s="275"/>
      <c r="AN7" s="275"/>
      <c r="AO7" s="275"/>
      <c r="AP7" s="275"/>
      <c r="AQ7" s="275"/>
      <c r="AR7" s="275"/>
      <c r="AS7" s="275"/>
      <c r="AT7" s="275"/>
      <c r="AW7" s="766">
        <v>0</v>
      </c>
      <c r="AX7" s="267"/>
      <c r="AY7" s="275"/>
      <c r="AZ7" s="275"/>
      <c r="BA7" s="275"/>
      <c r="BB7" s="275"/>
      <c r="BC7" s="275"/>
      <c r="BD7" s="275"/>
      <c r="BE7" s="275"/>
    </row>
    <row r="8" spans="1:57" ht="18" customHeight="1">
      <c r="N8" s="2" t="s">
        <v>109</v>
      </c>
      <c r="O8" s="2" t="s">
        <v>112</v>
      </c>
      <c r="Z8" s="289" t="s">
        <v>113</v>
      </c>
      <c r="AA8" s="272"/>
      <c r="AJ8" s="275"/>
      <c r="AK8" s="275"/>
      <c r="AL8" s="275"/>
      <c r="AM8" s="275"/>
      <c r="AN8" s="275"/>
      <c r="AO8" s="275"/>
      <c r="AP8" s="275"/>
      <c r="AQ8" s="275"/>
      <c r="AR8" s="275"/>
      <c r="AS8" s="275"/>
      <c r="AT8" s="275"/>
      <c r="AU8" s="768" t="b">
        <v>0</v>
      </c>
      <c r="AV8" s="768"/>
      <c r="AW8" s="766"/>
      <c r="AX8" s="267"/>
      <c r="AY8" s="275"/>
      <c r="AZ8" s="275"/>
      <c r="BA8" s="275"/>
      <c r="BB8" s="275"/>
      <c r="BC8" s="275"/>
      <c r="BD8" s="275"/>
      <c r="BE8" s="275"/>
    </row>
    <row r="9" spans="1:57" ht="18" customHeight="1">
      <c r="A9" s="24" t="s">
        <v>114</v>
      </c>
      <c r="B9" s="24"/>
      <c r="C9" s="24"/>
      <c r="D9" s="24"/>
      <c r="E9" s="24"/>
      <c r="F9" s="24"/>
      <c r="N9" s="257" t="s">
        <v>115</v>
      </c>
      <c r="O9" s="257" t="s">
        <v>116</v>
      </c>
      <c r="U9" s="730" t="s">
        <v>117</v>
      </c>
      <c r="Z9" s="290" t="s">
        <v>118</v>
      </c>
      <c r="AA9" s="273"/>
      <c r="AD9" s="259" t="s">
        <v>119</v>
      </c>
      <c r="AE9" s="259"/>
      <c r="AK9" s="275"/>
      <c r="AL9" s="275"/>
      <c r="AM9" s="275"/>
      <c r="AN9" s="275"/>
      <c r="AO9" s="275"/>
      <c r="AP9" s="275"/>
      <c r="AQ9" s="275"/>
      <c r="AR9" s="275"/>
      <c r="AS9" s="275"/>
      <c r="AT9" s="275"/>
      <c r="AU9" s="275"/>
      <c r="AV9" s="275"/>
      <c r="AW9" s="275"/>
      <c r="AX9" s="275"/>
      <c r="AY9" s="275"/>
      <c r="AZ9" s="275"/>
      <c r="BA9" s="275"/>
      <c r="BB9" s="275"/>
      <c r="BC9" s="275"/>
      <c r="BD9" s="275"/>
      <c r="BE9" s="275"/>
    </row>
    <row r="10" spans="1:57" ht="18" customHeight="1">
      <c r="A10" s="24" t="s">
        <v>120</v>
      </c>
      <c r="B10" s="24"/>
      <c r="C10" s="24"/>
      <c r="D10" s="24"/>
      <c r="E10" s="24"/>
      <c r="F10" s="24"/>
      <c r="N10" t="s">
        <v>121</v>
      </c>
      <c r="O10" s="255">
        <v>1</v>
      </c>
      <c r="Z10" s="290" t="s">
        <v>122</v>
      </c>
      <c r="AA10" s="273"/>
    </row>
    <row r="11" spans="1:57" ht="18" customHeight="1">
      <c r="A11" s="24" t="s">
        <v>123</v>
      </c>
      <c r="B11" s="24"/>
      <c r="C11" s="24"/>
      <c r="D11" s="24"/>
      <c r="E11" s="24"/>
      <c r="F11" s="24"/>
      <c r="N11" t="s">
        <v>124</v>
      </c>
      <c r="O11" s="255">
        <v>1</v>
      </c>
      <c r="S11" s="24" t="s">
        <v>125</v>
      </c>
      <c r="Z11" s="290" t="s">
        <v>126</v>
      </c>
      <c r="AA11" s="273"/>
    </row>
    <row r="12" spans="1:57" ht="18" customHeight="1">
      <c r="B12" s="24"/>
      <c r="C12" s="24"/>
      <c r="D12" s="24"/>
      <c r="E12" s="24"/>
      <c r="F12" s="24"/>
      <c r="N12" t="s">
        <v>127</v>
      </c>
      <c r="O12" s="255">
        <v>1</v>
      </c>
      <c r="S12" s="24" t="s">
        <v>128</v>
      </c>
      <c r="Z12" s="291" t="s">
        <v>129</v>
      </c>
      <c r="AA12" s="274"/>
      <c r="AD12" s="277" t="s">
        <v>130</v>
      </c>
      <c r="AE12" s="262"/>
      <c r="AF12" s="262"/>
      <c r="AG12" s="262"/>
      <c r="AH12" s="260"/>
      <c r="AJ12" s="767" t="s">
        <v>80</v>
      </c>
      <c r="AL12" s="766" t="s">
        <v>131</v>
      </c>
      <c r="AM12" s="768" t="b">
        <v>1</v>
      </c>
      <c r="AN12" s="768"/>
      <c r="AO12" s="766" t="s">
        <v>132</v>
      </c>
      <c r="AP12" s="277" t="s">
        <v>133</v>
      </c>
      <c r="AQ12" s="262"/>
      <c r="AR12" s="262"/>
      <c r="AS12" s="262"/>
      <c r="AT12" s="262"/>
      <c r="AU12" s="260"/>
      <c r="AV12" s="279" t="s">
        <v>134</v>
      </c>
    </row>
    <row r="13" spans="1:57" ht="18" customHeight="1">
      <c r="A13" s="24" t="s">
        <v>135</v>
      </c>
      <c r="N13" t="s">
        <v>136</v>
      </c>
      <c r="O13" s="255">
        <v>1</v>
      </c>
      <c r="AB13" s="768" t="b">
        <v>0</v>
      </c>
      <c r="AC13" s="768"/>
      <c r="AD13" s="278" t="s">
        <v>137</v>
      </c>
      <c r="AE13" s="263"/>
      <c r="AF13" s="263"/>
      <c r="AG13" s="263"/>
      <c r="AH13" s="261"/>
      <c r="AJ13" s="767"/>
      <c r="AL13" s="766"/>
      <c r="AO13" s="766"/>
      <c r="AP13" s="278" t="s">
        <v>138</v>
      </c>
      <c r="AQ13" s="263"/>
      <c r="AR13" s="263"/>
      <c r="AS13" s="263"/>
      <c r="AT13" s="263"/>
      <c r="AU13" s="261"/>
      <c r="AV13" s="279" t="s">
        <v>139</v>
      </c>
    </row>
    <row r="14" spans="1:57" ht="18" customHeight="1">
      <c r="A14" s="24" t="s">
        <v>140</v>
      </c>
      <c r="N14" t="s">
        <v>141</v>
      </c>
      <c r="O14" s="255">
        <v>1</v>
      </c>
    </row>
    <row r="15" spans="1:57" ht="18" customHeight="1">
      <c r="A15" s="24" t="s">
        <v>142</v>
      </c>
      <c r="N15" t="s">
        <v>143</v>
      </c>
      <c r="O15" s="255">
        <v>1</v>
      </c>
      <c r="AJ15" s="259" t="s">
        <v>144</v>
      </c>
      <c r="AO15" s="766" t="s">
        <v>105</v>
      </c>
      <c r="AP15" s="277" t="s">
        <v>145</v>
      </c>
      <c r="AQ15" s="262"/>
      <c r="AR15" s="262"/>
      <c r="AS15" s="262"/>
      <c r="AT15" s="262"/>
      <c r="AU15" s="260"/>
      <c r="AV15" s="279" t="s">
        <v>146</v>
      </c>
    </row>
    <row r="16" spans="1:57" ht="18" customHeight="1">
      <c r="A16" s="24" t="s">
        <v>147</v>
      </c>
      <c r="N16" s="257" t="s">
        <v>148</v>
      </c>
      <c r="O16" s="258">
        <v>1</v>
      </c>
      <c r="AJ16" s="259" t="s">
        <v>149</v>
      </c>
      <c r="AM16" s="727"/>
      <c r="AN16" s="730" t="b">
        <v>0</v>
      </c>
      <c r="AO16" s="766"/>
      <c r="AP16" s="278" t="s">
        <v>150</v>
      </c>
      <c r="AQ16" s="263"/>
      <c r="AR16" s="263"/>
      <c r="AS16" s="263"/>
      <c r="AT16" s="263"/>
      <c r="AU16" s="261"/>
      <c r="AV16" s="279" t="s">
        <v>151</v>
      </c>
    </row>
    <row r="17" spans="1:45" ht="18" customHeight="1">
      <c r="A17" s="24" t="s">
        <v>152</v>
      </c>
      <c r="N17" t="s">
        <v>153</v>
      </c>
      <c r="O17" s="255">
        <v>1</v>
      </c>
      <c r="U17" t="s">
        <v>154</v>
      </c>
    </row>
    <row r="18" spans="1:45" ht="18" customHeight="1">
      <c r="A18" s="24" t="s">
        <v>155</v>
      </c>
    </row>
    <row r="19" spans="1:45" ht="18" customHeight="1">
      <c r="A19" s="24" t="s">
        <v>156</v>
      </c>
      <c r="AI19" s="280"/>
      <c r="AJ19" s="281"/>
      <c r="AK19" s="281"/>
      <c r="AL19" s="281"/>
      <c r="AM19" s="281"/>
      <c r="AN19" s="281"/>
      <c r="AO19" s="281"/>
      <c r="AP19" s="281"/>
      <c r="AQ19" s="281"/>
      <c r="AR19" s="281"/>
      <c r="AS19" s="282"/>
    </row>
    <row r="20" spans="1:45" ht="18" customHeight="1">
      <c r="A20" s="24" t="s">
        <v>157</v>
      </c>
      <c r="X20" s="767" t="s">
        <v>80</v>
      </c>
      <c r="Y20" s="732"/>
      <c r="Z20" s="781" t="s">
        <v>158</v>
      </c>
      <c r="AA20" s="293" t="s">
        <v>159</v>
      </c>
      <c r="AB20" s="768" t="b">
        <v>1</v>
      </c>
      <c r="AC20" s="768"/>
      <c r="AD20" s="766" t="s">
        <v>132</v>
      </c>
      <c r="AF20" s="264" t="s">
        <v>160</v>
      </c>
      <c r="AG20" s="264"/>
      <c r="AI20" s="283"/>
      <c r="AJ20" s="2" t="s">
        <v>161</v>
      </c>
      <c r="AK20" s="2"/>
      <c r="AL20" s="2"/>
      <c r="AM20" s="2"/>
      <c r="AN20" s="2"/>
      <c r="AO20" s="2"/>
      <c r="AP20" s="2"/>
      <c r="AQ20" s="2"/>
      <c r="AR20" s="2"/>
      <c r="AS20" s="284"/>
    </row>
    <row r="21" spans="1:45" ht="18" customHeight="1">
      <c r="A21" s="24" t="s">
        <v>162</v>
      </c>
      <c r="V21" s="768" t="b">
        <v>0</v>
      </c>
      <c r="W21" s="768"/>
      <c r="X21" s="767"/>
      <c r="Y21" s="732"/>
      <c r="Z21" s="781"/>
      <c r="AA21" s="293" t="s">
        <v>163</v>
      </c>
      <c r="AD21" s="766"/>
      <c r="AF21" s="264" t="s">
        <v>164</v>
      </c>
      <c r="AG21" s="264"/>
      <c r="AI21" s="283"/>
      <c r="AJ21" s="285" t="s">
        <v>165</v>
      </c>
      <c r="AK21" s="2"/>
      <c r="AL21" s="2"/>
      <c r="AM21" s="2"/>
      <c r="AN21" s="2"/>
      <c r="AO21" s="2"/>
      <c r="AP21" s="2"/>
      <c r="AQ21" s="2"/>
      <c r="AR21" s="2"/>
      <c r="AS21" s="284"/>
    </row>
    <row r="22" spans="1:45" ht="18" customHeight="1">
      <c r="A22" s="24"/>
      <c r="AF22" s="265" t="s">
        <v>166</v>
      </c>
      <c r="AG22" s="265"/>
      <c r="AI22" s="283"/>
      <c r="AJ22" s="285" t="s">
        <v>167</v>
      </c>
      <c r="AK22" s="2"/>
      <c r="AL22" s="2"/>
      <c r="AM22" s="2"/>
      <c r="AN22" s="2"/>
      <c r="AO22" s="2"/>
      <c r="AP22" s="2"/>
      <c r="AQ22" s="2"/>
      <c r="AR22" s="2"/>
      <c r="AS22" s="284"/>
    </row>
    <row r="23" spans="1:45" ht="18" customHeight="1">
      <c r="AD23" s="766">
        <v>0</v>
      </c>
      <c r="AI23" s="283"/>
      <c r="AJ23" s="2"/>
      <c r="AK23" s="2"/>
      <c r="AL23" s="2"/>
      <c r="AM23" s="2"/>
      <c r="AN23" s="2"/>
      <c r="AO23" s="2"/>
      <c r="AP23" s="2"/>
      <c r="AQ23" s="2"/>
      <c r="AR23" s="2"/>
      <c r="AS23" s="284"/>
    </row>
    <row r="24" spans="1:45" ht="18" customHeight="1">
      <c r="AA24" s="259"/>
      <c r="AB24" s="768" t="b">
        <v>0</v>
      </c>
      <c r="AC24" s="768"/>
      <c r="AD24" s="766"/>
      <c r="AI24" s="283"/>
      <c r="AJ24" s="285" t="s">
        <v>168</v>
      </c>
      <c r="AK24" s="2"/>
      <c r="AL24" s="2"/>
      <c r="AM24" s="2"/>
      <c r="AN24" s="2"/>
      <c r="AO24" s="2"/>
      <c r="AP24" s="2"/>
      <c r="AQ24" s="2"/>
      <c r="AR24" s="2"/>
      <c r="AS24" s="284"/>
    </row>
    <row r="25" spans="1:45" ht="18" customHeight="1">
      <c r="V25" t="s">
        <v>169</v>
      </c>
      <c r="AA25" s="292" t="s">
        <v>170</v>
      </c>
      <c r="AI25" s="283"/>
      <c r="AJ25" s="777" t="s">
        <v>171</v>
      </c>
      <c r="AK25" s="771"/>
      <c r="AL25" s="771"/>
      <c r="AM25" s="779" t="b">
        <v>1</v>
      </c>
      <c r="AN25" s="779"/>
      <c r="AO25" s="771" t="s">
        <v>95</v>
      </c>
      <c r="AP25" s="772"/>
      <c r="AQ25" s="2"/>
      <c r="AR25" s="2"/>
      <c r="AS25" s="284"/>
    </row>
    <row r="26" spans="1:45" ht="18" customHeight="1">
      <c r="AA26" s="292" t="s">
        <v>172</v>
      </c>
      <c r="AI26" s="283"/>
      <c r="AJ26" s="778"/>
      <c r="AK26" s="773"/>
      <c r="AL26" s="773"/>
      <c r="AM26" s="659"/>
      <c r="AN26" s="659"/>
      <c r="AO26" s="773"/>
      <c r="AP26" s="774"/>
      <c r="AQ26" s="2"/>
      <c r="AR26" s="2"/>
      <c r="AS26" s="284"/>
    </row>
    <row r="27" spans="1:45" ht="18" customHeight="1">
      <c r="AA27" s="292" t="s">
        <v>173</v>
      </c>
      <c r="AI27" s="283"/>
      <c r="AJ27" s="285" t="s">
        <v>174</v>
      </c>
      <c r="AK27" s="285"/>
      <c r="AL27" s="2"/>
      <c r="AN27" s="2"/>
      <c r="AP27" s="2"/>
      <c r="AQ27" s="2"/>
      <c r="AR27" s="2"/>
      <c r="AS27" s="284"/>
    </row>
    <row r="28" spans="1:45" ht="18" customHeight="1">
      <c r="AF28" t="s">
        <v>169</v>
      </c>
      <c r="AI28" s="283"/>
      <c r="AJ28" s="2"/>
      <c r="AK28" s="2"/>
      <c r="AL28" s="2"/>
      <c r="AM28" s="2"/>
      <c r="AN28" s="2"/>
      <c r="AO28" s="769" t="s">
        <v>175</v>
      </c>
      <c r="AP28" s="2"/>
      <c r="AQ28" s="2"/>
      <c r="AR28" s="2"/>
      <c r="AS28" s="284"/>
    </row>
    <row r="29" spans="1:45" ht="18" customHeight="1">
      <c r="AI29" s="283"/>
      <c r="AJ29" s="2"/>
      <c r="AK29" s="2"/>
      <c r="AL29" s="2"/>
      <c r="AM29" s="2"/>
      <c r="AN29" s="294" t="b">
        <v>0</v>
      </c>
      <c r="AO29" s="770"/>
      <c r="AP29" s="2"/>
      <c r="AQ29" s="2"/>
      <c r="AR29" s="2"/>
      <c r="AS29" s="284"/>
    </row>
    <row r="30" spans="1:45" ht="18" customHeight="1">
      <c r="AI30" s="286"/>
      <c r="AJ30" s="287"/>
      <c r="AK30" s="287"/>
      <c r="AL30" s="287"/>
      <c r="AM30" s="287"/>
      <c r="AN30" s="287"/>
      <c r="AO30" s="287"/>
      <c r="AP30" s="287"/>
      <c r="AQ30" s="287"/>
      <c r="AR30" s="287"/>
      <c r="AS30" s="288"/>
    </row>
    <row r="31" spans="1:45" ht="18" customHeight="1">
      <c r="Y31" s="259" t="s">
        <v>176</v>
      </c>
    </row>
    <row r="32" spans="1:45" ht="18" customHeight="1">
      <c r="AI32" s="296" t="s">
        <v>177</v>
      </c>
      <c r="AM32" s="297"/>
    </row>
    <row r="33" spans="24:39" ht="18" customHeight="1">
      <c r="X33" s="767" t="s">
        <v>80</v>
      </c>
      <c r="Z33" s="776" t="s">
        <v>178</v>
      </c>
      <c r="AA33" s="775" t="s">
        <v>179</v>
      </c>
      <c r="AB33" s="775"/>
      <c r="AC33" s="775"/>
      <c r="AD33" s="766" t="s">
        <v>132</v>
      </c>
      <c r="AI33" t="s">
        <v>180</v>
      </c>
      <c r="AM33" s="259"/>
    </row>
    <row r="34" spans="24:39" ht="18" customHeight="1">
      <c r="X34" s="767"/>
      <c r="Z34" s="776"/>
      <c r="AD34" s="766"/>
      <c r="AI34" t="s">
        <v>181</v>
      </c>
      <c r="AM34" s="259"/>
    </row>
    <row r="35" spans="24:39" ht="18" customHeight="1">
      <c r="AD35" s="766">
        <v>0</v>
      </c>
      <c r="AI35" t="s">
        <v>182</v>
      </c>
      <c r="AM35" s="259"/>
    </row>
    <row r="36" spans="24:39" ht="18" customHeight="1">
      <c r="AA36" s="775" t="s">
        <v>183</v>
      </c>
      <c r="AB36" s="775"/>
      <c r="AC36" s="775"/>
      <c r="AD36" s="766"/>
      <c r="AI36" t="s">
        <v>184</v>
      </c>
      <c r="AM36" s="259"/>
    </row>
    <row r="37" spans="24:39" ht="18" customHeight="1"/>
    <row r="38" spans="24:39" ht="18" customHeight="1">
      <c r="AI38" t="s">
        <v>185</v>
      </c>
    </row>
    <row r="39" spans="24:39" ht="18" customHeight="1">
      <c r="AI39" t="s">
        <v>186</v>
      </c>
    </row>
    <row r="40" spans="24:39">
      <c r="AI40" t="s">
        <v>187</v>
      </c>
    </row>
    <row r="42" spans="24:39" ht="21" customHeight="1">
      <c r="AI42" t="s">
        <v>188</v>
      </c>
    </row>
    <row r="43" spans="24:39">
      <c r="AI43" t="s">
        <v>189</v>
      </c>
    </row>
    <row r="44" spans="24:39">
      <c r="AI44" t="s">
        <v>190</v>
      </c>
    </row>
    <row r="46" spans="24:39" ht="21" customHeight="1"/>
  </sheetData>
  <sheetProtection password="E6D7" sheet="1" objects="1" scenarios="1"/>
  <mergeCells count="48">
    <mergeCell ref="Q3:R3"/>
    <mergeCell ref="S3:S4"/>
    <mergeCell ref="S6:S7"/>
    <mergeCell ref="H3:I3"/>
    <mergeCell ref="H7:I7"/>
    <mergeCell ref="J3:J4"/>
    <mergeCell ref="J6:J7"/>
    <mergeCell ref="L6:L7"/>
    <mergeCell ref="Q7:R7"/>
    <mergeCell ref="U6:U7"/>
    <mergeCell ref="V6:W6"/>
    <mergeCell ref="V21:W21"/>
    <mergeCell ref="X6:X7"/>
    <mergeCell ref="X20:X21"/>
    <mergeCell ref="X33:X34"/>
    <mergeCell ref="Z33:Z34"/>
    <mergeCell ref="AB24:AC24"/>
    <mergeCell ref="AJ1:AJ2"/>
    <mergeCell ref="AJ25:AL26"/>
    <mergeCell ref="AL12:AL13"/>
    <mergeCell ref="AJ12:AJ13"/>
    <mergeCell ref="AL1:AM2"/>
    <mergeCell ref="AM25:AN25"/>
    <mergeCell ref="Z6:AA7"/>
    <mergeCell ref="Z20:Z21"/>
    <mergeCell ref="AB6:AC6"/>
    <mergeCell ref="AB13:AC13"/>
    <mergeCell ref="AD35:AD36"/>
    <mergeCell ref="AD20:AD21"/>
    <mergeCell ref="AD23:AD24"/>
    <mergeCell ref="AA33:AC33"/>
    <mergeCell ref="AA36:AC36"/>
    <mergeCell ref="AB20:AC20"/>
    <mergeCell ref="AP1:AS2"/>
    <mergeCell ref="AR4:AT5"/>
    <mergeCell ref="AU4:AV4"/>
    <mergeCell ref="AD33:AD34"/>
    <mergeCell ref="AM12:AN12"/>
    <mergeCell ref="AN1:AO1"/>
    <mergeCell ref="AU8:AV8"/>
    <mergeCell ref="AD6:AD7"/>
    <mergeCell ref="AO28:AO29"/>
    <mergeCell ref="AO25:AP26"/>
    <mergeCell ref="AW4:AW5"/>
    <mergeCell ref="AW7:AW8"/>
    <mergeCell ref="AP4:AP5"/>
    <mergeCell ref="AO12:AO13"/>
    <mergeCell ref="AO15:AO16"/>
  </mergeCells>
  <phoneticPr fontId="2"/>
  <pageMargins left="0.19685039370078741" right="0.19685039370078741" top="0.46" bottom="0.36" header="0.11811023622047245" footer="0.11811023622047245"/>
  <pageSetup paperSize="9" scale="47" orientation="landscape" horizontalDpi="4294967293" r:id="rId1"/>
  <headerFooter alignWithMargins="0">
    <oddHeader>&amp;R&amp;D</oddHeader>
    <oddFooter>&amp;L&amp;F&amp;R&amp;A</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autoPageBreaks="0"/>
  </sheetPr>
  <dimension ref="A1:Q291"/>
  <sheetViews>
    <sheetView showGridLines="0" topLeftCell="A253" zoomScale="85" zoomScaleNormal="85" zoomScaleSheetLayoutView="55" workbookViewId="0">
      <selection activeCell="Q292" sqref="Q292"/>
    </sheetView>
  </sheetViews>
  <sheetFormatPr defaultRowHeight="13.5"/>
  <cols>
    <col min="4" max="4" width="1.125" customWidth="1"/>
    <col min="18" max="18" width="23.875" customWidth="1"/>
  </cols>
  <sheetData>
    <row r="1" spans="1:6">
      <c r="A1" s="234" t="s">
        <v>191</v>
      </c>
    </row>
    <row r="2" spans="1:6" ht="3.75" customHeight="1"/>
    <row r="3" spans="1:6">
      <c r="A3" s="20" t="s">
        <v>192</v>
      </c>
    </row>
    <row r="4" spans="1:6" ht="3.75" customHeight="1"/>
    <row r="5" spans="1:6">
      <c r="A5" s="20" t="s">
        <v>193</v>
      </c>
      <c r="E5" s="50"/>
    </row>
    <row r="6" spans="1:6" ht="3.75" customHeight="1"/>
    <row r="7" spans="1:6">
      <c r="A7" s="20" t="s">
        <v>194</v>
      </c>
    </row>
    <row r="8" spans="1:6">
      <c r="A8" s="49" t="s">
        <v>195</v>
      </c>
    </row>
    <row r="9" spans="1:6">
      <c r="A9" s="49" t="s">
        <v>196</v>
      </c>
    </row>
    <row r="10" spans="1:6">
      <c r="A10" s="49" t="s">
        <v>197</v>
      </c>
    </row>
    <row r="11" spans="1:6" ht="3.75" customHeight="1"/>
    <row r="12" spans="1:6">
      <c r="A12" s="20" t="s">
        <v>198</v>
      </c>
    </row>
    <row r="13" spans="1:6">
      <c r="A13" s="49" t="s">
        <v>199</v>
      </c>
    </row>
    <row r="14" spans="1:6" ht="3.75" customHeight="1">
      <c r="A14" s="49"/>
    </row>
    <row r="15" spans="1:6">
      <c r="A15" s="20" t="s">
        <v>200</v>
      </c>
      <c r="F15" s="50" t="s">
        <v>201</v>
      </c>
    </row>
    <row r="16" spans="1:6" ht="3.75" customHeight="1"/>
    <row r="17" spans="1:1">
      <c r="A17" s="49" t="s">
        <v>202</v>
      </c>
    </row>
    <row r="18" spans="1:1">
      <c r="A18" s="49" t="s">
        <v>203</v>
      </c>
    </row>
    <row r="20" spans="1:1">
      <c r="A20" s="234" t="s">
        <v>204</v>
      </c>
    </row>
    <row r="21" spans="1:1">
      <c r="A21" t="s">
        <v>205</v>
      </c>
    </row>
    <row r="22" spans="1:1">
      <c r="A22" t="s">
        <v>206</v>
      </c>
    </row>
    <row r="23" spans="1:1">
      <c r="A23" t="s">
        <v>207</v>
      </c>
    </row>
    <row r="25" spans="1:1">
      <c r="A25" s="235" t="s">
        <v>208</v>
      </c>
    </row>
    <row r="26" spans="1:1">
      <c r="A26" t="s">
        <v>209</v>
      </c>
    </row>
    <row r="28" spans="1:1">
      <c r="A28" t="s">
        <v>210</v>
      </c>
    </row>
    <row r="29" spans="1:1">
      <c r="A29" t="s">
        <v>211</v>
      </c>
    </row>
    <row r="30" spans="1:1">
      <c r="A30" t="s">
        <v>212</v>
      </c>
    </row>
    <row r="32" spans="1:1">
      <c r="A32" t="s">
        <v>213</v>
      </c>
    </row>
    <row r="33" spans="1:17">
      <c r="A33" t="s">
        <v>214</v>
      </c>
    </row>
    <row r="34" spans="1:17">
      <c r="A34" t="s">
        <v>215</v>
      </c>
    </row>
    <row r="35" spans="1:17">
      <c r="A35" t="s">
        <v>216</v>
      </c>
    </row>
    <row r="37" spans="1:17">
      <c r="A37" t="s">
        <v>217</v>
      </c>
    </row>
    <row r="38" spans="1:17">
      <c r="A38" t="s">
        <v>218</v>
      </c>
    </row>
    <row r="39" spans="1:17">
      <c r="A39" t="s">
        <v>219</v>
      </c>
    </row>
    <row r="41" spans="1:17">
      <c r="A41" s="660"/>
      <c r="B41" s="660" t="s">
        <v>220</v>
      </c>
      <c r="C41" s="660"/>
      <c r="D41" s="660"/>
      <c r="E41" s="660"/>
      <c r="F41" s="660"/>
      <c r="G41" s="660"/>
      <c r="H41" s="660"/>
      <c r="I41" s="660"/>
      <c r="J41" s="660"/>
      <c r="K41" s="660"/>
      <c r="L41" s="660"/>
      <c r="M41" s="660"/>
      <c r="N41" s="660"/>
      <c r="O41" s="660"/>
      <c r="P41" s="660"/>
      <c r="Q41" s="660"/>
    </row>
    <row r="43" spans="1:17">
      <c r="A43" t="s">
        <v>221</v>
      </c>
    </row>
    <row r="44" spans="1:17">
      <c r="A44" t="s">
        <v>222</v>
      </c>
    </row>
    <row r="45" spans="1:17">
      <c r="A45" s="227" t="s">
        <v>223</v>
      </c>
    </row>
    <row r="46" spans="1:17">
      <c r="A46" s="227" t="s">
        <v>224</v>
      </c>
    </row>
    <row r="47" spans="1:17">
      <c r="A47" s="227" t="s">
        <v>225</v>
      </c>
    </row>
    <row r="48" spans="1:17">
      <c r="A48" s="227" t="s">
        <v>226</v>
      </c>
    </row>
    <row r="50" spans="1:17">
      <c r="A50" s="660"/>
      <c r="B50" s="660"/>
      <c r="C50" s="660"/>
      <c r="D50" s="660"/>
      <c r="E50" s="660"/>
      <c r="F50" s="660"/>
      <c r="G50" s="660"/>
      <c r="H50" s="660"/>
      <c r="I50" s="660"/>
      <c r="J50" s="660"/>
      <c r="K50" s="660"/>
      <c r="L50" s="660"/>
      <c r="M50" s="661"/>
      <c r="N50" s="660"/>
      <c r="O50" s="660"/>
      <c r="P50" s="660"/>
      <c r="Q50" s="662" t="s">
        <v>227</v>
      </c>
    </row>
    <row r="52" spans="1:17">
      <c r="A52" t="s">
        <v>228</v>
      </c>
    </row>
    <row r="53" spans="1:17">
      <c r="A53" t="s">
        <v>229</v>
      </c>
    </row>
    <row r="54" spans="1:17">
      <c r="A54" t="s">
        <v>230</v>
      </c>
    </row>
    <row r="55" spans="1:17">
      <c r="A55" t="s">
        <v>231</v>
      </c>
    </row>
    <row r="56" spans="1:17">
      <c r="A56" s="660"/>
      <c r="B56" s="660"/>
      <c r="C56" s="660"/>
      <c r="D56" s="660"/>
      <c r="E56" s="660"/>
      <c r="F56" s="660"/>
      <c r="G56" s="660"/>
      <c r="H56" s="660"/>
      <c r="I56" s="660"/>
      <c r="J56" s="660"/>
      <c r="K56" s="660"/>
      <c r="L56" s="660"/>
      <c r="M56" s="661"/>
      <c r="N56" s="660"/>
      <c r="O56" s="660"/>
      <c r="P56" s="660"/>
      <c r="Q56" s="662" t="s">
        <v>232</v>
      </c>
    </row>
    <row r="58" spans="1:17">
      <c r="A58" t="s">
        <v>233</v>
      </c>
    </row>
    <row r="59" spans="1:17">
      <c r="A59" t="s">
        <v>234</v>
      </c>
    </row>
    <row r="60" spans="1:17">
      <c r="A60" s="660"/>
      <c r="B60" s="660"/>
      <c r="C60" s="660"/>
      <c r="D60" s="660"/>
      <c r="E60" s="660"/>
      <c r="F60" s="660"/>
      <c r="G60" s="660"/>
      <c r="H60" s="660"/>
      <c r="I60" s="660"/>
      <c r="J60" s="660"/>
      <c r="K60" s="660"/>
      <c r="L60" s="660"/>
      <c r="M60" s="661"/>
      <c r="N60" s="660"/>
      <c r="O60" s="660"/>
      <c r="P60" s="660"/>
      <c r="Q60" s="662" t="s">
        <v>235</v>
      </c>
    </row>
    <row r="62" spans="1:17">
      <c r="A62" t="s">
        <v>236</v>
      </c>
    </row>
    <row r="63" spans="1:17">
      <c r="A63" t="s">
        <v>237</v>
      </c>
    </row>
    <row r="64" spans="1:17">
      <c r="A64" t="s">
        <v>238</v>
      </c>
    </row>
    <row r="66" spans="1:17">
      <c r="A66" t="s">
        <v>239</v>
      </c>
    </row>
    <row r="68" spans="1:17">
      <c r="A68" t="s">
        <v>240</v>
      </c>
    </row>
    <row r="69" spans="1:17">
      <c r="A69" t="s">
        <v>241</v>
      </c>
    </row>
    <row r="70" spans="1:17">
      <c r="A70" s="726" t="s">
        <v>242</v>
      </c>
    </row>
    <row r="71" spans="1:17">
      <c r="A71" t="s">
        <v>243</v>
      </c>
    </row>
    <row r="72" spans="1:17">
      <c r="A72" t="s">
        <v>244</v>
      </c>
    </row>
    <row r="74" spans="1:17">
      <c r="A74" t="s">
        <v>245</v>
      </c>
    </row>
    <row r="76" spans="1:17">
      <c r="A76" t="s">
        <v>246</v>
      </c>
    </row>
    <row r="77" spans="1:17">
      <c r="A77" t="s">
        <v>247</v>
      </c>
    </row>
    <row r="79" spans="1:17">
      <c r="A79" s="660"/>
      <c r="B79" s="660"/>
      <c r="C79" s="660"/>
      <c r="D79" s="660"/>
      <c r="E79" s="660"/>
      <c r="F79" s="660"/>
      <c r="G79" s="660"/>
      <c r="H79" s="660"/>
      <c r="I79" s="660"/>
      <c r="J79" s="660"/>
      <c r="K79" s="660"/>
      <c r="L79" s="660"/>
      <c r="M79" s="661"/>
      <c r="N79" s="660"/>
      <c r="O79" s="660"/>
      <c r="P79" s="660"/>
      <c r="Q79" s="662" t="s">
        <v>248</v>
      </c>
    </row>
    <row r="81" spans="1:17">
      <c r="A81" t="s">
        <v>249</v>
      </c>
    </row>
    <row r="82" spans="1:17">
      <c r="A82" s="660"/>
      <c r="B82" s="660"/>
      <c r="C82" s="660"/>
      <c r="D82" s="660"/>
      <c r="E82" s="660"/>
      <c r="F82" s="660"/>
      <c r="G82" s="660"/>
      <c r="H82" s="660"/>
      <c r="I82" s="660"/>
      <c r="J82" s="660"/>
      <c r="K82" s="660"/>
      <c r="L82" s="660"/>
      <c r="M82" s="661"/>
      <c r="N82" s="660"/>
      <c r="O82" s="660"/>
      <c r="P82" s="660"/>
      <c r="Q82" s="662" t="s">
        <v>250</v>
      </c>
    </row>
    <row r="84" spans="1:17">
      <c r="A84" t="s">
        <v>251</v>
      </c>
    </row>
    <row r="85" spans="1:17">
      <c r="A85" s="660"/>
      <c r="B85" s="660"/>
      <c r="C85" s="660"/>
      <c r="D85" s="660"/>
      <c r="E85" s="660"/>
      <c r="F85" s="660"/>
      <c r="G85" s="660"/>
      <c r="H85" s="660"/>
      <c r="I85" s="660"/>
      <c r="J85" s="660"/>
      <c r="K85" s="660"/>
      <c r="L85" s="660"/>
      <c r="M85" s="660"/>
      <c r="N85" s="660"/>
      <c r="O85" s="660"/>
      <c r="P85" s="660"/>
      <c r="Q85" s="662" t="s">
        <v>252</v>
      </c>
    </row>
    <row r="87" spans="1:17">
      <c r="A87" t="s">
        <v>253</v>
      </c>
    </row>
    <row r="88" spans="1:17">
      <c r="A88" t="s">
        <v>254</v>
      </c>
    </row>
    <row r="89" spans="1:17">
      <c r="A89" t="s">
        <v>255</v>
      </c>
    </row>
    <row r="90" spans="1:17">
      <c r="A90" t="s">
        <v>256</v>
      </c>
    </row>
    <row r="91" spans="1:17">
      <c r="A91" t="s">
        <v>257</v>
      </c>
    </row>
    <row r="92" spans="1:17">
      <c r="A92" s="660"/>
      <c r="B92" s="660"/>
      <c r="C92" s="660"/>
      <c r="D92" s="660"/>
      <c r="E92" s="660"/>
      <c r="F92" s="660"/>
      <c r="G92" s="660"/>
      <c r="H92" s="660"/>
      <c r="I92" s="660"/>
      <c r="J92" s="660"/>
      <c r="K92" s="660"/>
      <c r="L92" s="660"/>
      <c r="M92" s="660"/>
      <c r="N92" s="660"/>
      <c r="O92" s="660"/>
      <c r="P92" s="660"/>
      <c r="Q92" s="662" t="s">
        <v>258</v>
      </c>
    </row>
    <row r="94" spans="1:17">
      <c r="A94" t="s">
        <v>259</v>
      </c>
    </row>
    <row r="95" spans="1:17">
      <c r="A95" t="s">
        <v>260</v>
      </c>
    </row>
    <row r="96" spans="1:17">
      <c r="A96" s="660"/>
      <c r="B96" s="660"/>
      <c r="C96" s="660"/>
      <c r="D96" s="660"/>
      <c r="E96" s="660"/>
      <c r="F96" s="660"/>
      <c r="G96" s="660"/>
      <c r="H96" s="660"/>
      <c r="I96" s="660"/>
      <c r="J96" s="660"/>
      <c r="K96" s="660"/>
      <c r="L96" s="660"/>
      <c r="M96" s="660"/>
      <c r="N96" s="660"/>
      <c r="O96" s="660"/>
      <c r="P96" s="660"/>
      <c r="Q96" s="662" t="s">
        <v>261</v>
      </c>
    </row>
    <row r="98" spans="1:2">
      <c r="A98" t="s">
        <v>262</v>
      </c>
    </row>
    <row r="99" spans="1:2">
      <c r="A99" t="s">
        <v>263</v>
      </c>
    </row>
    <row r="101" spans="1:2">
      <c r="A101" t="s">
        <v>264</v>
      </c>
    </row>
    <row r="102" spans="1:2">
      <c r="A102" t="s">
        <v>265</v>
      </c>
    </row>
    <row r="103" spans="1:2">
      <c r="A103" t="s">
        <v>266</v>
      </c>
    </row>
    <row r="105" spans="1:2">
      <c r="A105" t="s">
        <v>267</v>
      </c>
    </row>
    <row r="106" spans="1:2">
      <c r="A106" t="s">
        <v>268</v>
      </c>
      <c r="B106" t="s">
        <v>269</v>
      </c>
    </row>
    <row r="107" spans="1:2">
      <c r="B107" t="s">
        <v>270</v>
      </c>
    </row>
    <row r="108" spans="1:2">
      <c r="B108" t="s">
        <v>271</v>
      </c>
    </row>
    <row r="109" spans="1:2">
      <c r="B109" t="s">
        <v>272</v>
      </c>
    </row>
    <row r="110" spans="1:2">
      <c r="A110" t="s">
        <v>273</v>
      </c>
      <c r="B110" t="s">
        <v>274</v>
      </c>
    </row>
    <row r="111" spans="1:2">
      <c r="B111" t="s">
        <v>275</v>
      </c>
    </row>
    <row r="112" spans="1:2">
      <c r="B112" t="s">
        <v>242</v>
      </c>
    </row>
    <row r="113" spans="1:17">
      <c r="B113" t="s">
        <v>276</v>
      </c>
    </row>
    <row r="115" spans="1:17">
      <c r="A115" t="s">
        <v>277</v>
      </c>
    </row>
    <row r="116" spans="1:17">
      <c r="A116" t="s">
        <v>278</v>
      </c>
    </row>
    <row r="117" spans="1:17">
      <c r="A117" t="s">
        <v>279</v>
      </c>
    </row>
    <row r="118" spans="1:17">
      <c r="A118" s="660"/>
      <c r="B118" s="660"/>
      <c r="C118" s="660"/>
      <c r="D118" s="660"/>
      <c r="E118" s="660"/>
      <c r="F118" s="660"/>
      <c r="G118" s="660"/>
      <c r="H118" s="660"/>
      <c r="I118" s="660"/>
      <c r="J118" s="660"/>
      <c r="K118" s="660"/>
      <c r="L118" s="660"/>
      <c r="M118" s="660"/>
      <c r="N118" s="660"/>
      <c r="O118" s="660"/>
      <c r="P118" s="660"/>
      <c r="Q118" s="662" t="s">
        <v>280</v>
      </c>
    </row>
    <row r="120" spans="1:17">
      <c r="A120" t="s">
        <v>281</v>
      </c>
    </row>
    <row r="121" spans="1:17">
      <c r="A121" t="s">
        <v>282</v>
      </c>
    </row>
    <row r="123" spans="1:17">
      <c r="A123" t="s">
        <v>283</v>
      </c>
    </row>
    <row r="124" spans="1:17">
      <c r="A124" t="s">
        <v>284</v>
      </c>
    </row>
    <row r="125" spans="1:17">
      <c r="A125" t="s">
        <v>285</v>
      </c>
    </row>
    <row r="126" spans="1:17">
      <c r="A126" t="s">
        <v>286</v>
      </c>
    </row>
    <row r="127" spans="1:17">
      <c r="A127" t="s">
        <v>287</v>
      </c>
    </row>
    <row r="128" spans="1:17">
      <c r="A128" t="s">
        <v>288</v>
      </c>
    </row>
    <row r="129" spans="1:17">
      <c r="A129" t="s">
        <v>289</v>
      </c>
    </row>
    <row r="130" spans="1:17">
      <c r="A130" t="s">
        <v>290</v>
      </c>
    </row>
    <row r="131" spans="1:17">
      <c r="A131" t="s">
        <v>291</v>
      </c>
    </row>
    <row r="132" spans="1:17">
      <c r="A132" t="s">
        <v>292</v>
      </c>
    </row>
    <row r="133" spans="1:17">
      <c r="A133" t="s">
        <v>288</v>
      </c>
    </row>
    <row r="134" spans="1:17">
      <c r="A134" t="s">
        <v>289</v>
      </c>
    </row>
    <row r="135" spans="1:17">
      <c r="A135" s="660"/>
      <c r="B135" s="660"/>
      <c r="C135" s="660"/>
      <c r="D135" s="660"/>
      <c r="E135" s="660"/>
      <c r="F135" s="660"/>
      <c r="G135" s="660"/>
      <c r="H135" s="660"/>
      <c r="I135" s="660"/>
      <c r="J135" s="660"/>
      <c r="K135" s="660"/>
      <c r="L135" s="660"/>
      <c r="M135" s="660"/>
      <c r="N135" s="660"/>
      <c r="O135" s="660"/>
      <c r="P135" s="660"/>
      <c r="Q135" s="662" t="s">
        <v>293</v>
      </c>
    </row>
    <row r="137" spans="1:17">
      <c r="A137" t="s">
        <v>294</v>
      </c>
    </row>
    <row r="138" spans="1:17">
      <c r="A138" t="s">
        <v>295</v>
      </c>
    </row>
    <row r="139" spans="1:17">
      <c r="A139" t="s">
        <v>296</v>
      </c>
    </row>
    <row r="140" spans="1:17">
      <c r="A140" t="s">
        <v>297</v>
      </c>
    </row>
    <row r="142" spans="1:17">
      <c r="A142" s="660"/>
      <c r="B142" s="660"/>
      <c r="C142" s="660"/>
      <c r="D142" s="660"/>
      <c r="E142" s="660"/>
      <c r="F142" s="660"/>
      <c r="G142" s="660"/>
      <c r="H142" s="660"/>
      <c r="I142" s="660"/>
      <c r="J142" s="660"/>
      <c r="K142" s="660"/>
      <c r="L142" s="660"/>
      <c r="M142" s="660"/>
      <c r="N142" s="660"/>
      <c r="O142" s="660"/>
      <c r="P142" s="660"/>
      <c r="Q142" s="662" t="s">
        <v>298</v>
      </c>
    </row>
    <row r="144" spans="1:17">
      <c r="A144" t="s">
        <v>299</v>
      </c>
    </row>
    <row r="145" spans="1:17">
      <c r="A145" t="s">
        <v>300</v>
      </c>
    </row>
    <row r="146" spans="1:17">
      <c r="A146" t="s">
        <v>301</v>
      </c>
    </row>
    <row r="147" spans="1:17">
      <c r="A147" t="s">
        <v>302</v>
      </c>
    </row>
    <row r="148" spans="1:17">
      <c r="A148" t="s">
        <v>303</v>
      </c>
    </row>
    <row r="149" spans="1:17">
      <c r="A149" t="s">
        <v>304</v>
      </c>
    </row>
    <row r="150" spans="1:17">
      <c r="A150" t="s">
        <v>305</v>
      </c>
    </row>
    <row r="151" spans="1:17">
      <c r="A151" t="s">
        <v>306</v>
      </c>
    </row>
    <row r="152" spans="1:17">
      <c r="A152" s="329" t="s">
        <v>307</v>
      </c>
    </row>
    <row r="153" spans="1:17">
      <c r="A153" s="329" t="s">
        <v>308</v>
      </c>
    </row>
    <row r="154" spans="1:17">
      <c r="A154" s="330" t="s">
        <v>309</v>
      </c>
    </row>
    <row r="155" spans="1:17">
      <c r="A155" t="s">
        <v>310</v>
      </c>
    </row>
    <row r="156" spans="1:17">
      <c r="A156" t="s">
        <v>311</v>
      </c>
    </row>
    <row r="157" spans="1:17">
      <c r="A157" t="s">
        <v>312</v>
      </c>
    </row>
    <row r="159" spans="1:17">
      <c r="A159" t="s">
        <v>313</v>
      </c>
    </row>
    <row r="160" spans="1:17">
      <c r="A160" s="660"/>
      <c r="B160" s="660"/>
      <c r="C160" s="660"/>
      <c r="D160" s="660"/>
      <c r="E160" s="660"/>
      <c r="F160" s="660"/>
      <c r="G160" s="660"/>
      <c r="H160" s="660"/>
      <c r="I160" s="660"/>
      <c r="J160" s="660"/>
      <c r="K160" s="660"/>
      <c r="L160" s="660"/>
      <c r="M160" s="660"/>
      <c r="N160" s="660"/>
      <c r="O160" s="660"/>
      <c r="P160" s="660"/>
      <c r="Q160" s="662" t="s">
        <v>314</v>
      </c>
    </row>
    <row r="162" spans="1:17">
      <c r="A162" t="s">
        <v>315</v>
      </c>
    </row>
    <row r="163" spans="1:17">
      <c r="A163" s="660"/>
      <c r="B163" s="660"/>
      <c r="C163" s="660"/>
      <c r="D163" s="660"/>
      <c r="E163" s="660"/>
      <c r="F163" s="660"/>
      <c r="G163" s="660"/>
      <c r="H163" s="660"/>
      <c r="I163" s="660"/>
      <c r="J163" s="660"/>
      <c r="K163" s="660"/>
      <c r="L163" s="660"/>
      <c r="M163" s="660"/>
      <c r="N163" s="660"/>
      <c r="O163" s="660"/>
      <c r="P163" s="660"/>
      <c r="Q163" s="662" t="s">
        <v>316</v>
      </c>
    </row>
    <row r="165" spans="1:17">
      <c r="A165" t="s">
        <v>317</v>
      </c>
    </row>
    <row r="166" spans="1:17">
      <c r="A166" t="s">
        <v>318</v>
      </c>
    </row>
    <row r="167" spans="1:17">
      <c r="A167" t="s">
        <v>319</v>
      </c>
    </row>
    <row r="168" spans="1:17">
      <c r="A168" t="s">
        <v>320</v>
      </c>
    </row>
    <row r="169" spans="1:17">
      <c r="A169" t="s">
        <v>321</v>
      </c>
    </row>
    <row r="170" spans="1:17">
      <c r="A170" t="s">
        <v>322</v>
      </c>
    </row>
    <row r="171" spans="1:17">
      <c r="A171" t="s">
        <v>323</v>
      </c>
    </row>
    <row r="172" spans="1:17">
      <c r="A172" s="234" t="s">
        <v>324</v>
      </c>
    </row>
    <row r="173" spans="1:17">
      <c r="A173" s="234"/>
    </row>
    <row r="174" spans="1:17">
      <c r="A174" s="234"/>
    </row>
    <row r="175" spans="1:17">
      <c r="A175" t="s">
        <v>325</v>
      </c>
    </row>
    <row r="176" spans="1:17">
      <c r="A176" s="234" t="s">
        <v>326</v>
      </c>
    </row>
    <row r="177" spans="1:1">
      <c r="A177" s="234" t="s">
        <v>327</v>
      </c>
    </row>
    <row r="178" spans="1:1">
      <c r="A178" s="234"/>
    </row>
    <row r="179" spans="1:1">
      <c r="A179" t="s">
        <v>328</v>
      </c>
    </row>
    <row r="180" spans="1:1">
      <c r="A180" t="s">
        <v>329</v>
      </c>
    </row>
    <row r="181" spans="1:1">
      <c r="A181" t="s">
        <v>330</v>
      </c>
    </row>
    <row r="183" spans="1:1">
      <c r="A183" t="s">
        <v>331</v>
      </c>
    </row>
    <row r="185" spans="1:1">
      <c r="A185" t="s">
        <v>332</v>
      </c>
    </row>
    <row r="187" spans="1:1">
      <c r="A187" t="s">
        <v>333</v>
      </c>
    </row>
    <row r="188" spans="1:1">
      <c r="A188" t="s">
        <v>334</v>
      </c>
    </row>
    <row r="189" spans="1:1">
      <c r="A189" t="s">
        <v>335</v>
      </c>
    </row>
    <row r="191" spans="1:1">
      <c r="A191" t="s">
        <v>336</v>
      </c>
    </row>
    <row r="193" spans="1:1">
      <c r="A193" t="s">
        <v>337</v>
      </c>
    </row>
    <row r="195" spans="1:1">
      <c r="A195" t="s">
        <v>338</v>
      </c>
    </row>
    <row r="196" spans="1:1">
      <c r="A196" t="s">
        <v>339</v>
      </c>
    </row>
    <row r="197" spans="1:1">
      <c r="A197" t="s">
        <v>340</v>
      </c>
    </row>
    <row r="198" spans="1:1">
      <c r="A198" t="s">
        <v>341</v>
      </c>
    </row>
    <row r="199" spans="1:1">
      <c r="A199" s="726" t="s">
        <v>242</v>
      </c>
    </row>
    <row r="200" spans="1:1">
      <c r="A200" t="s">
        <v>342</v>
      </c>
    </row>
    <row r="203" spans="1:1">
      <c r="A203" s="20" t="s">
        <v>343</v>
      </c>
    </row>
    <row r="204" spans="1:1">
      <c r="A204" s="20" t="s">
        <v>344</v>
      </c>
    </row>
    <row r="205" spans="1:1">
      <c r="A205" t="s">
        <v>345</v>
      </c>
    </row>
    <row r="206" spans="1:1">
      <c r="A206" t="s">
        <v>346</v>
      </c>
    </row>
    <row r="207" spans="1:1">
      <c r="A207" t="s">
        <v>347</v>
      </c>
    </row>
    <row r="208" spans="1:1">
      <c r="A208" t="s">
        <v>348</v>
      </c>
    </row>
    <row r="209" spans="1:2">
      <c r="A209" t="s">
        <v>349</v>
      </c>
    </row>
    <row r="210" spans="1:2">
      <c r="A210" t="s">
        <v>350</v>
      </c>
    </row>
    <row r="211" spans="1:2">
      <c r="A211" t="s">
        <v>351</v>
      </c>
    </row>
    <row r="212" spans="1:2">
      <c r="B212" t="s">
        <v>352</v>
      </c>
    </row>
    <row r="213" spans="1:2">
      <c r="B213" t="s">
        <v>353</v>
      </c>
    </row>
    <row r="214" spans="1:2">
      <c r="B214" t="s">
        <v>354</v>
      </c>
    </row>
    <row r="215" spans="1:2">
      <c r="B215" t="s">
        <v>355</v>
      </c>
    </row>
    <row r="216" spans="1:2">
      <c r="B216" t="s">
        <v>356</v>
      </c>
    </row>
    <row r="217" spans="1:2">
      <c r="B217" t="s">
        <v>357</v>
      </c>
    </row>
    <row r="218" spans="1:2">
      <c r="B218" t="s">
        <v>358</v>
      </c>
    </row>
    <row r="219" spans="1:2">
      <c r="B219" t="s">
        <v>359</v>
      </c>
    </row>
    <row r="220" spans="1:2">
      <c r="B220" t="s">
        <v>360</v>
      </c>
    </row>
    <row r="222" spans="1:2">
      <c r="A222" s="20" t="s">
        <v>361</v>
      </c>
    </row>
    <row r="223" spans="1:2">
      <c r="A223" t="s">
        <v>362</v>
      </c>
    </row>
    <row r="224" spans="1:2">
      <c r="A224" t="s">
        <v>346</v>
      </c>
    </row>
    <row r="225" spans="1:13">
      <c r="A225" s="234" t="s">
        <v>363</v>
      </c>
      <c r="B225" s="234"/>
      <c r="C225" s="234"/>
      <c r="D225" s="234"/>
      <c r="E225" s="234"/>
      <c r="F225" s="234"/>
      <c r="G225" s="234"/>
      <c r="H225" s="234"/>
      <c r="I225" s="234"/>
      <c r="J225" s="234"/>
      <c r="K225" s="234"/>
      <c r="L225" s="234"/>
    </row>
    <row r="226" spans="1:13">
      <c r="A226" s="234" t="s">
        <v>364</v>
      </c>
      <c r="B226" s="234"/>
      <c r="C226" s="234"/>
      <c r="D226" s="234"/>
      <c r="E226" s="234"/>
      <c r="F226" s="234"/>
      <c r="G226" s="234"/>
      <c r="H226" s="234"/>
      <c r="I226" s="234"/>
      <c r="J226" s="234"/>
      <c r="K226" s="234"/>
      <c r="L226" s="234"/>
    </row>
    <row r="227" spans="1:13">
      <c r="A227" s="234" t="s">
        <v>365</v>
      </c>
      <c r="B227" s="234"/>
      <c r="C227" s="234"/>
      <c r="D227" s="234"/>
      <c r="E227" s="234"/>
      <c r="F227" s="234"/>
      <c r="G227" s="234"/>
      <c r="H227" s="234"/>
      <c r="I227" s="234"/>
      <c r="J227" s="234"/>
      <c r="K227" s="234"/>
      <c r="L227" s="234"/>
    </row>
    <row r="228" spans="1:13">
      <c r="A228" s="234" t="s">
        <v>366</v>
      </c>
      <c r="B228" s="234"/>
      <c r="C228" s="234"/>
      <c r="D228" s="234"/>
      <c r="E228" s="234"/>
      <c r="F228" s="234"/>
      <c r="G228" s="234"/>
      <c r="H228" s="234"/>
      <c r="I228" s="234"/>
      <c r="J228" s="234"/>
      <c r="K228" s="234"/>
      <c r="L228" s="234"/>
    </row>
    <row r="229" spans="1:13">
      <c r="A229" s="234" t="s">
        <v>367</v>
      </c>
      <c r="B229" s="234"/>
      <c r="C229" s="234"/>
      <c r="D229" s="234"/>
      <c r="E229" s="234"/>
      <c r="F229" s="234"/>
      <c r="G229" s="234"/>
      <c r="H229" s="234"/>
      <c r="I229" s="234"/>
      <c r="J229" s="234"/>
      <c r="K229" s="234"/>
      <c r="L229" s="234"/>
    </row>
    <row r="230" spans="1:13">
      <c r="A230" s="234" t="s">
        <v>154</v>
      </c>
      <c r="B230" s="234"/>
      <c r="C230" s="234"/>
      <c r="D230" s="234"/>
      <c r="E230" s="234"/>
      <c r="F230" s="234"/>
      <c r="G230" s="234"/>
      <c r="H230" s="234"/>
      <c r="I230" s="234"/>
      <c r="J230" s="234"/>
      <c r="K230" s="234"/>
      <c r="L230" s="234"/>
    </row>
    <row r="231" spans="1:13">
      <c r="A231" s="234" t="s">
        <v>154</v>
      </c>
      <c r="B231" s="234" t="s">
        <v>368</v>
      </c>
    </row>
    <row r="232" spans="1:13">
      <c r="A232" s="234" t="s">
        <v>154</v>
      </c>
      <c r="B232" t="s">
        <v>369</v>
      </c>
      <c r="M232" s="329" t="s">
        <v>370</v>
      </c>
    </row>
    <row r="233" spans="1:13">
      <c r="A233" s="234" t="s">
        <v>154</v>
      </c>
      <c r="B233" s="358" t="s">
        <v>371</v>
      </c>
      <c r="C233" s="358"/>
      <c r="M233" s="329" t="s">
        <v>372</v>
      </c>
    </row>
    <row r="234" spans="1:13">
      <c r="A234" s="234" t="s">
        <v>154</v>
      </c>
      <c r="B234" s="358" t="s">
        <v>373</v>
      </c>
      <c r="C234" s="358"/>
    </row>
    <row r="238" spans="1:13">
      <c r="A238" t="s">
        <v>374</v>
      </c>
    </row>
    <row r="239" spans="1:13">
      <c r="A239" s="20" t="s">
        <v>375</v>
      </c>
    </row>
    <row r="240" spans="1:13">
      <c r="A240" s="20" t="s">
        <v>376</v>
      </c>
    </row>
    <row r="241" spans="1:13">
      <c r="A241" t="s">
        <v>377</v>
      </c>
    </row>
    <row r="242" spans="1:13">
      <c r="A242" t="s">
        <v>378</v>
      </c>
      <c r="B242" s="335"/>
    </row>
    <row r="243" spans="1:13">
      <c r="J243" s="335" t="s">
        <v>379</v>
      </c>
    </row>
    <row r="244" spans="1:13">
      <c r="J244" s="335" t="s">
        <v>380</v>
      </c>
    </row>
    <row r="245" spans="1:13">
      <c r="A245" t="s">
        <v>381</v>
      </c>
    </row>
    <row r="246" spans="1:13">
      <c r="A246" t="s">
        <v>382</v>
      </c>
    </row>
    <row r="247" spans="1:13">
      <c r="A247" t="s">
        <v>383</v>
      </c>
    </row>
    <row r="248" spans="1:13">
      <c r="A248" t="s">
        <v>384</v>
      </c>
    </row>
    <row r="249" spans="1:13">
      <c r="A249" s="354" t="s">
        <v>385</v>
      </c>
    </row>
    <row r="250" spans="1:13">
      <c r="A250" s="354"/>
      <c r="M250" s="355" t="s">
        <v>386</v>
      </c>
    </row>
    <row r="251" spans="1:13">
      <c r="A251" t="s">
        <v>387</v>
      </c>
    </row>
    <row r="252" spans="1:13">
      <c r="A252" t="s">
        <v>388</v>
      </c>
    </row>
    <row r="253" spans="1:13">
      <c r="A253" t="s">
        <v>389</v>
      </c>
    </row>
    <row r="254" spans="1:13">
      <c r="A254" t="s">
        <v>390</v>
      </c>
    </row>
    <row r="255" spans="1:13">
      <c r="A255" t="s">
        <v>391</v>
      </c>
    </row>
    <row r="257" spans="1:14">
      <c r="L257" s="235" t="s">
        <v>392</v>
      </c>
    </row>
    <row r="258" spans="1:14">
      <c r="L258" s="235" t="s">
        <v>393</v>
      </c>
    </row>
    <row r="259" spans="1:14">
      <c r="L259" s="235" t="s">
        <v>394</v>
      </c>
    </row>
    <row r="263" spans="1:14">
      <c r="A263" s="20" t="s">
        <v>395</v>
      </c>
    </row>
    <row r="264" spans="1:14">
      <c r="A264" t="s">
        <v>396</v>
      </c>
      <c r="N264" s="335" t="s">
        <v>397</v>
      </c>
    </row>
    <row r="265" spans="1:14">
      <c r="A265" t="s">
        <v>398</v>
      </c>
      <c r="N265" s="335" t="s">
        <v>399</v>
      </c>
    </row>
    <row r="266" spans="1:14">
      <c r="N266" s="335" t="s">
        <v>400</v>
      </c>
    </row>
    <row r="267" spans="1:14">
      <c r="A267" s="8"/>
      <c r="B267" t="s">
        <v>401</v>
      </c>
      <c r="N267" s="335" t="s">
        <v>402</v>
      </c>
    </row>
    <row r="268" spans="1:14">
      <c r="A268" s="8"/>
      <c r="B268" t="s">
        <v>403</v>
      </c>
      <c r="N268" s="335" t="s">
        <v>404</v>
      </c>
    </row>
    <row r="269" spans="1:14">
      <c r="N269" s="335" t="s">
        <v>405</v>
      </c>
    </row>
    <row r="270" spans="1:14">
      <c r="E270" s="8"/>
      <c r="F270" t="s">
        <v>406</v>
      </c>
      <c r="N270" s="335" t="s">
        <v>407</v>
      </c>
    </row>
    <row r="271" spans="1:14">
      <c r="E271" s="8"/>
      <c r="N271" s="335"/>
    </row>
    <row r="272" spans="1:14">
      <c r="E272" s="8"/>
      <c r="F272" s="8"/>
      <c r="G272" t="s">
        <v>408</v>
      </c>
      <c r="N272" s="335"/>
    </row>
    <row r="273" spans="1:14">
      <c r="E273" s="8"/>
      <c r="F273" s="8"/>
      <c r="G273" t="s">
        <v>409</v>
      </c>
      <c r="N273" s="335"/>
    </row>
    <row r="274" spans="1:14">
      <c r="E274" s="8"/>
      <c r="F274" s="8"/>
      <c r="G274" s="8"/>
      <c r="H274" t="s">
        <v>410</v>
      </c>
    </row>
    <row r="275" spans="1:14">
      <c r="E275" s="8"/>
      <c r="F275" s="8"/>
      <c r="G275" s="8"/>
      <c r="H275" t="s">
        <v>411</v>
      </c>
    </row>
    <row r="276" spans="1:14">
      <c r="E276" s="8"/>
      <c r="F276" s="8"/>
    </row>
    <row r="277" spans="1:14">
      <c r="E277" s="8"/>
      <c r="F277" s="8"/>
      <c r="G277" t="s">
        <v>412</v>
      </c>
    </row>
    <row r="278" spans="1:14">
      <c r="E278" s="8"/>
      <c r="I278" s="335" t="s">
        <v>413</v>
      </c>
    </row>
    <row r="279" spans="1:14">
      <c r="E279" s="8"/>
      <c r="G279" s="8"/>
      <c r="H279" t="s">
        <v>414</v>
      </c>
    </row>
    <row r="280" spans="1:14">
      <c r="E280" s="8"/>
      <c r="G280" s="8"/>
      <c r="H280" t="s">
        <v>415</v>
      </c>
    </row>
    <row r="281" spans="1:14">
      <c r="E281" s="8"/>
    </row>
    <row r="282" spans="1:14">
      <c r="E282" s="8"/>
      <c r="F282" t="s">
        <v>416</v>
      </c>
    </row>
    <row r="284" spans="1:14">
      <c r="H284" s="8"/>
      <c r="I284" t="s">
        <v>417</v>
      </c>
    </row>
    <row r="285" spans="1:14">
      <c r="H285" s="8"/>
      <c r="I285" t="s">
        <v>418</v>
      </c>
    </row>
    <row r="287" spans="1:14">
      <c r="A287" t="s">
        <v>419</v>
      </c>
    </row>
    <row r="288" spans="1:14">
      <c r="A288" t="s">
        <v>420</v>
      </c>
    </row>
    <row r="289" spans="1:17">
      <c r="A289" t="s">
        <v>421</v>
      </c>
    </row>
    <row r="291" spans="1:17">
      <c r="A291" s="660"/>
      <c r="B291" s="660"/>
      <c r="C291" s="660"/>
      <c r="D291" s="660"/>
      <c r="E291" s="660"/>
      <c r="F291" s="660"/>
      <c r="G291" s="660"/>
      <c r="H291" s="660"/>
      <c r="I291" s="660"/>
      <c r="J291" s="660"/>
      <c r="K291" s="660"/>
      <c r="L291" s="660"/>
      <c r="M291" s="660"/>
      <c r="N291" s="660"/>
      <c r="O291" s="660"/>
      <c r="P291" s="660"/>
      <c r="Q291" s="662" t="s">
        <v>422</v>
      </c>
    </row>
  </sheetData>
  <phoneticPr fontId="2"/>
  <pageMargins left="0.47" right="0.14000000000000001" top="0.38" bottom="0.34" header="0.21" footer="0.2"/>
  <pageSetup paperSize="9" scale="58" orientation="landscape" horizontalDpi="4294967294" r:id="rId1"/>
  <headerFooter alignWithMargins="0">
    <oddHeader>&amp;R&amp;D</oddHeader>
    <oddFooter>&amp;L&amp;F&amp;C&amp;P/&amp;N&amp;R&amp;A</oddFooter>
  </headerFooter>
  <rowBreaks count="4" manualBreakCount="4">
    <brk id="60" max="16383" man="1"/>
    <brk id="118" max="16383" man="1"/>
    <brk id="163" max="16383" man="1"/>
    <brk id="236"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Y55"/>
  <sheetViews>
    <sheetView showGridLines="0" zoomScale="85" workbookViewId="0">
      <pane ySplit="1" topLeftCell="A2" activePane="bottomLeft" state="frozen"/>
      <selection pane="bottomLeft" activeCell="E42" sqref="E42"/>
      <selection activeCell="F67" sqref="F67:G67"/>
    </sheetView>
  </sheetViews>
  <sheetFormatPr defaultColWidth="9" defaultRowHeight="13.5"/>
  <cols>
    <col min="1" max="1" width="23.375" style="105" customWidth="1"/>
    <col min="2" max="2" width="8.875" style="105" customWidth="1"/>
    <col min="3" max="3" width="3.375" style="105" bestFit="1" customWidth="1"/>
    <col min="4" max="4" width="8.875" style="105" customWidth="1"/>
    <col min="5" max="5" width="8.375" style="105" bestFit="1" customWidth="1"/>
    <col min="6" max="6" width="9" style="105"/>
    <col min="7" max="7" width="3" style="105" customWidth="1"/>
    <col min="8" max="8" width="2.875" style="105" bestFit="1" customWidth="1"/>
    <col min="9" max="15" width="9" style="105"/>
    <col min="16" max="16" width="3" style="105" customWidth="1"/>
    <col min="17" max="16384" width="9" style="105"/>
  </cols>
  <sheetData>
    <row r="1" spans="1:21">
      <c r="A1" s="105" t="s">
        <v>423</v>
      </c>
      <c r="B1" s="228"/>
      <c r="C1" s="228"/>
      <c r="D1" s="228"/>
      <c r="E1" s="228"/>
    </row>
    <row r="2" spans="1:21">
      <c r="B2" s="228"/>
      <c r="C2" s="228"/>
      <c r="D2" s="228"/>
      <c r="E2" s="228"/>
    </row>
    <row r="3" spans="1:21">
      <c r="A3" s="105" t="s">
        <v>424</v>
      </c>
      <c r="B3" s="249">
        <v>1</v>
      </c>
      <c r="C3" s="228" t="s">
        <v>425</v>
      </c>
      <c r="D3" s="249">
        <v>1</v>
      </c>
      <c r="E3" s="228" t="s">
        <v>426</v>
      </c>
      <c r="F3" s="480" t="s">
        <v>427</v>
      </c>
    </row>
    <row r="4" spans="1:21">
      <c r="A4" s="105" t="s">
        <v>428</v>
      </c>
      <c r="B4" s="249">
        <v>2</v>
      </c>
      <c r="C4" s="228" t="s">
        <v>425</v>
      </c>
      <c r="D4" s="249">
        <v>11</v>
      </c>
      <c r="E4" s="228" t="s">
        <v>426</v>
      </c>
      <c r="F4" s="228" t="s">
        <v>429</v>
      </c>
    </row>
    <row r="5" spans="1:21">
      <c r="A5" s="105" t="s">
        <v>430</v>
      </c>
      <c r="B5" s="249">
        <v>4</v>
      </c>
      <c r="C5" s="228" t="s">
        <v>425</v>
      </c>
      <c r="D5" s="249">
        <v>29</v>
      </c>
      <c r="E5" s="228" t="s">
        <v>426</v>
      </c>
      <c r="F5" s="228" t="s">
        <v>429</v>
      </c>
    </row>
    <row r="6" spans="1:21">
      <c r="A6" s="105" t="s">
        <v>431</v>
      </c>
      <c r="B6" s="249">
        <v>5</v>
      </c>
      <c r="C6" s="228" t="s">
        <v>425</v>
      </c>
      <c r="D6" s="249">
        <v>3</v>
      </c>
      <c r="E6" s="228" t="s">
        <v>426</v>
      </c>
      <c r="F6" s="228" t="s">
        <v>429</v>
      </c>
    </row>
    <row r="7" spans="1:21">
      <c r="A7" s="105" t="s">
        <v>432</v>
      </c>
      <c r="B7" s="249">
        <v>5</v>
      </c>
      <c r="C7" s="228" t="s">
        <v>425</v>
      </c>
      <c r="D7" s="249">
        <v>4</v>
      </c>
      <c r="E7" s="228" t="s">
        <v>426</v>
      </c>
      <c r="F7" s="228" t="s">
        <v>429</v>
      </c>
    </row>
    <row r="8" spans="1:21">
      <c r="A8" s="105" t="s">
        <v>433</v>
      </c>
      <c r="B8" s="249">
        <v>5</v>
      </c>
      <c r="C8" s="228" t="s">
        <v>425</v>
      </c>
      <c r="D8" s="249">
        <v>5</v>
      </c>
      <c r="E8" s="228" t="s">
        <v>426</v>
      </c>
      <c r="F8" s="228" t="s">
        <v>429</v>
      </c>
    </row>
    <row r="9" spans="1:21">
      <c r="A9" s="105" t="s">
        <v>434</v>
      </c>
      <c r="B9" s="249">
        <v>11</v>
      </c>
      <c r="C9" s="228" t="s">
        <v>425</v>
      </c>
      <c r="D9" s="249">
        <v>3</v>
      </c>
      <c r="E9" s="228" t="s">
        <v>426</v>
      </c>
      <c r="F9" s="228" t="s">
        <v>429</v>
      </c>
    </row>
    <row r="10" spans="1:21">
      <c r="A10" s="105" t="s">
        <v>435</v>
      </c>
      <c r="B10" s="249">
        <v>11</v>
      </c>
      <c r="C10" s="228" t="s">
        <v>425</v>
      </c>
      <c r="D10" s="249">
        <v>23</v>
      </c>
      <c r="E10" s="228" t="s">
        <v>426</v>
      </c>
      <c r="F10" s="228" t="s">
        <v>429</v>
      </c>
      <c r="J10" s="250"/>
      <c r="K10" s="250"/>
      <c r="L10" s="250"/>
      <c r="M10" s="250"/>
      <c r="N10" s="250"/>
    </row>
    <row r="11" spans="1:21">
      <c r="A11" s="479" t="s">
        <v>436</v>
      </c>
      <c r="B11" s="249">
        <v>2</v>
      </c>
      <c r="C11" s="228" t="s">
        <v>425</v>
      </c>
      <c r="D11" s="249">
        <v>23</v>
      </c>
      <c r="E11" s="228" t="s">
        <v>426</v>
      </c>
      <c r="F11" s="228" t="s">
        <v>429</v>
      </c>
      <c r="I11" s="250"/>
      <c r="J11" s="250"/>
      <c r="K11" s="250"/>
      <c r="L11" s="250"/>
      <c r="M11" s="250"/>
      <c r="N11" s="250"/>
      <c r="O11" s="250"/>
      <c r="P11" s="250"/>
    </row>
    <row r="12" spans="1:21">
      <c r="A12" s="479" t="s">
        <v>437</v>
      </c>
      <c r="B12" s="249">
        <v>8</v>
      </c>
      <c r="C12" s="228" t="s">
        <v>425</v>
      </c>
      <c r="D12" s="614">
        <v>8</v>
      </c>
      <c r="E12" s="228" t="s">
        <v>426</v>
      </c>
      <c r="F12" s="228" t="s">
        <v>429</v>
      </c>
      <c r="G12" s="611" t="s">
        <v>438</v>
      </c>
      <c r="H12" s="612"/>
      <c r="I12" s="612"/>
      <c r="J12" s="613"/>
      <c r="K12" s="613"/>
      <c r="L12" s="613"/>
      <c r="M12" s="613"/>
      <c r="N12" s="613"/>
      <c r="O12" s="613"/>
      <c r="P12" s="613"/>
      <c r="Q12" s="612"/>
      <c r="R12" s="612"/>
      <c r="S12" s="612"/>
      <c r="T12" s="612"/>
      <c r="U12" s="612"/>
    </row>
    <row r="13" spans="1:21">
      <c r="A13" s="105" t="s">
        <v>439</v>
      </c>
      <c r="B13" s="228"/>
      <c r="C13" s="228"/>
      <c r="D13" s="228"/>
      <c r="E13" s="228"/>
      <c r="I13" s="250"/>
      <c r="J13" s="250"/>
      <c r="K13" s="250"/>
      <c r="L13" s="250"/>
      <c r="M13" s="250"/>
      <c r="N13" s="250"/>
      <c r="O13" s="250"/>
      <c r="P13" s="250"/>
    </row>
    <row r="14" spans="1:21">
      <c r="A14" s="105" t="s">
        <v>440</v>
      </c>
      <c r="B14" s="249">
        <v>1</v>
      </c>
      <c r="C14" s="228" t="s">
        <v>441</v>
      </c>
      <c r="D14" s="252" t="s">
        <v>442</v>
      </c>
      <c r="E14" s="228" t="s">
        <v>443</v>
      </c>
      <c r="I14" s="250"/>
      <c r="J14" s="250"/>
      <c r="K14" s="250"/>
      <c r="L14" s="250"/>
      <c r="M14" s="250"/>
      <c r="N14" s="250"/>
      <c r="O14" s="250"/>
      <c r="P14" s="250"/>
    </row>
    <row r="15" spans="1:21">
      <c r="A15" s="105" t="s">
        <v>444</v>
      </c>
      <c r="B15" s="610"/>
      <c r="C15" s="228" t="s">
        <v>441</v>
      </c>
      <c r="D15" s="252" t="s">
        <v>445</v>
      </c>
      <c r="E15" s="228" t="s">
        <v>443</v>
      </c>
      <c r="F15" s="611" t="s">
        <v>446</v>
      </c>
      <c r="G15" s="612"/>
      <c r="H15" s="612"/>
      <c r="I15" s="613"/>
      <c r="J15" s="613"/>
      <c r="K15" s="613"/>
      <c r="L15" s="613"/>
      <c r="M15" s="613"/>
      <c r="N15" s="613"/>
      <c r="O15" s="613"/>
      <c r="P15" s="613"/>
      <c r="Q15" s="612"/>
      <c r="R15" s="612"/>
      <c r="S15" s="612"/>
      <c r="T15" s="612"/>
      <c r="U15" s="612"/>
    </row>
    <row r="16" spans="1:21">
      <c r="A16" s="105" t="s">
        <v>447</v>
      </c>
      <c r="B16" s="249">
        <v>9</v>
      </c>
      <c r="C16" s="228" t="s">
        <v>441</v>
      </c>
      <c r="D16" s="252" t="s">
        <v>445</v>
      </c>
      <c r="E16" s="228" t="s">
        <v>443</v>
      </c>
      <c r="I16" s="250"/>
      <c r="J16" s="250"/>
      <c r="K16" s="250"/>
      <c r="L16" s="250"/>
      <c r="M16" s="250"/>
      <c r="N16" s="250"/>
      <c r="O16" s="250"/>
      <c r="P16" s="250"/>
    </row>
    <row r="17" spans="1:25">
      <c r="A17" s="105" t="s">
        <v>448</v>
      </c>
      <c r="B17" s="610"/>
      <c r="C17" s="228" t="s">
        <v>441</v>
      </c>
      <c r="D17" s="252" t="s">
        <v>442</v>
      </c>
      <c r="E17" s="228" t="s">
        <v>443</v>
      </c>
      <c r="F17" s="611" t="s">
        <v>449</v>
      </c>
      <c r="G17" s="612"/>
      <c r="H17" s="612"/>
      <c r="I17" s="613"/>
      <c r="J17" s="613"/>
      <c r="K17" s="613"/>
      <c r="L17" s="613"/>
      <c r="M17" s="613"/>
      <c r="N17" s="613"/>
      <c r="O17" s="613"/>
      <c r="P17" s="613"/>
      <c r="Q17" s="612"/>
      <c r="R17" s="612"/>
      <c r="S17" s="612"/>
      <c r="T17" s="612"/>
      <c r="U17" s="612"/>
      <c r="V17" s="612"/>
      <c r="W17" s="612"/>
      <c r="X17" s="612"/>
      <c r="Y17" s="612"/>
    </row>
    <row r="18" spans="1:25">
      <c r="B18" s="228"/>
      <c r="C18" s="228"/>
      <c r="D18" s="228"/>
      <c r="E18" s="228"/>
      <c r="I18" s="250"/>
      <c r="J18" s="250"/>
      <c r="K18" s="250"/>
      <c r="L18" s="250"/>
      <c r="M18" s="250"/>
      <c r="N18" s="250"/>
      <c r="O18" s="250"/>
      <c r="P18" s="250"/>
    </row>
    <row r="19" spans="1:25">
      <c r="A19" s="105" t="s">
        <v>450</v>
      </c>
      <c r="C19" s="228"/>
      <c r="D19" s="228"/>
      <c r="E19" s="228"/>
      <c r="I19" s="250"/>
      <c r="J19" s="250"/>
      <c r="K19" s="250"/>
      <c r="L19" s="250"/>
      <c r="M19" s="250"/>
      <c r="N19" s="250"/>
      <c r="O19" s="250"/>
      <c r="P19" s="250"/>
    </row>
    <row r="20" spans="1:25">
      <c r="A20" s="481" t="s">
        <v>451</v>
      </c>
      <c r="B20" s="230">
        <v>44275</v>
      </c>
      <c r="D20" s="480" t="s">
        <v>427</v>
      </c>
      <c r="E20" s="228"/>
    </row>
    <row r="21" spans="1:25">
      <c r="B21" s="566"/>
      <c r="D21" s="228" t="s">
        <v>429</v>
      </c>
    </row>
    <row r="22" spans="1:25">
      <c r="B22" s="230"/>
      <c r="D22" s="228" t="s">
        <v>429</v>
      </c>
    </row>
    <row r="23" spans="1:25">
      <c r="B23" s="230"/>
      <c r="D23" s="228" t="s">
        <v>429</v>
      </c>
      <c r="H23" s="482"/>
    </row>
    <row r="24" spans="1:25">
      <c r="B24" s="230"/>
      <c r="D24" s="228" t="s">
        <v>429</v>
      </c>
      <c r="H24" s="482"/>
    </row>
    <row r="25" spans="1:25">
      <c r="B25" s="230"/>
      <c r="D25" s="228" t="s">
        <v>429</v>
      </c>
    </row>
    <row r="26" spans="1:25">
      <c r="A26" s="105" t="s">
        <v>452</v>
      </c>
      <c r="B26" s="483"/>
      <c r="D26" s="228"/>
    </row>
    <row r="27" spans="1:25">
      <c r="A27" s="481" t="s">
        <v>453</v>
      </c>
      <c r="B27" s="230">
        <v>44462</v>
      </c>
      <c r="D27" s="228" t="s">
        <v>429</v>
      </c>
    </row>
    <row r="28" spans="1:25">
      <c r="B28" s="566"/>
      <c r="D28" s="228" t="s">
        <v>429</v>
      </c>
    </row>
    <row r="29" spans="1:25">
      <c r="B29" s="230"/>
      <c r="D29" s="228" t="s">
        <v>429</v>
      </c>
    </row>
    <row r="30" spans="1:25">
      <c r="B30" s="230"/>
      <c r="D30" s="228" t="s">
        <v>429</v>
      </c>
      <c r="K30" s="481"/>
      <c r="L30" s="228"/>
      <c r="M30" s="228"/>
    </row>
    <row r="31" spans="1:25">
      <c r="B31" s="230"/>
      <c r="D31" s="228" t="s">
        <v>429</v>
      </c>
    </row>
    <row r="32" spans="1:25">
      <c r="B32" s="230"/>
      <c r="D32" s="228" t="s">
        <v>429</v>
      </c>
    </row>
    <row r="33" spans="1:25">
      <c r="A33" s="247"/>
      <c r="B33" s="253"/>
      <c r="C33" s="247"/>
      <c r="D33" s="248"/>
      <c r="E33" s="247"/>
      <c r="F33" s="247"/>
      <c r="G33" s="247"/>
      <c r="H33" s="247"/>
      <c r="I33" s="247"/>
      <c r="J33" s="247"/>
      <c r="K33" s="247"/>
    </row>
    <row r="34" spans="1:25">
      <c r="A34" s="567" t="s">
        <v>454</v>
      </c>
      <c r="B34" s="230">
        <v>44399</v>
      </c>
      <c r="C34" s="247"/>
      <c r="D34" s="248" t="s">
        <v>429</v>
      </c>
      <c r="E34" s="567"/>
      <c r="F34" s="247"/>
      <c r="G34" s="247"/>
      <c r="H34" s="247"/>
      <c r="I34" s="247"/>
      <c r="J34" s="247"/>
      <c r="K34" s="247"/>
      <c r="M34" s="615" t="s">
        <v>455</v>
      </c>
      <c r="N34" s="615"/>
      <c r="O34" s="615"/>
      <c r="P34" s="615"/>
      <c r="Q34" s="615"/>
      <c r="R34" s="615"/>
      <c r="S34" s="615"/>
      <c r="T34" s="615"/>
      <c r="U34" s="615"/>
      <c r="V34" s="615"/>
      <c r="W34" s="615"/>
      <c r="X34" s="615"/>
      <c r="Y34" s="615"/>
    </row>
    <row r="35" spans="1:25">
      <c r="A35" s="247" t="s">
        <v>456</v>
      </c>
      <c r="B35" s="230">
        <v>44400</v>
      </c>
      <c r="C35" s="247"/>
      <c r="D35" s="248" t="s">
        <v>429</v>
      </c>
      <c r="E35" s="247"/>
      <c r="F35" s="247"/>
      <c r="G35" s="247"/>
      <c r="H35" s="247"/>
      <c r="I35" s="247"/>
      <c r="J35" s="247"/>
      <c r="K35" s="247"/>
      <c r="M35" s="615" t="s">
        <v>457</v>
      </c>
      <c r="N35" s="612"/>
      <c r="O35" s="612"/>
      <c r="P35" s="612"/>
      <c r="Q35" s="612"/>
      <c r="R35" s="612"/>
      <c r="S35" s="612"/>
      <c r="T35" s="612"/>
      <c r="U35" s="612"/>
      <c r="V35" s="612"/>
      <c r="W35" s="612"/>
      <c r="X35" s="612"/>
      <c r="Y35" s="612"/>
    </row>
    <row r="36" spans="1:25">
      <c r="A36" s="247" t="s">
        <v>456</v>
      </c>
      <c r="B36" s="230">
        <v>44417</v>
      </c>
      <c r="C36" s="247"/>
      <c r="D36" s="248" t="s">
        <v>429</v>
      </c>
      <c r="E36" s="247"/>
      <c r="F36" s="247"/>
      <c r="G36" s="247"/>
      <c r="H36" s="247"/>
      <c r="I36" s="247"/>
      <c r="J36" s="247"/>
      <c r="K36" s="247"/>
      <c r="M36" s="615" t="s">
        <v>458</v>
      </c>
      <c r="N36" s="612"/>
      <c r="O36" s="612"/>
      <c r="P36" s="612"/>
      <c r="Q36" s="612"/>
      <c r="R36" s="612"/>
      <c r="S36" s="612"/>
      <c r="T36" s="612"/>
      <c r="U36" s="612"/>
      <c r="V36" s="612"/>
      <c r="W36" s="612"/>
      <c r="X36" s="612"/>
      <c r="Y36" s="612"/>
    </row>
    <row r="37" spans="1:25">
      <c r="A37" s="247" t="s">
        <v>456</v>
      </c>
      <c r="B37" s="230"/>
      <c r="C37" s="247"/>
      <c r="D37" s="248" t="s">
        <v>429</v>
      </c>
      <c r="E37" s="247"/>
      <c r="F37" s="247"/>
      <c r="G37" s="247"/>
      <c r="H37" s="247"/>
      <c r="I37" s="247"/>
      <c r="J37" s="247"/>
      <c r="K37" s="247"/>
    </row>
    <row r="38" spans="1:25">
      <c r="A38" s="247" t="s">
        <v>456</v>
      </c>
      <c r="B38" s="230"/>
      <c r="C38" s="247"/>
      <c r="D38" s="248" t="s">
        <v>429</v>
      </c>
      <c r="E38" s="247"/>
      <c r="F38" s="247"/>
      <c r="G38" s="247"/>
      <c r="H38" s="247"/>
      <c r="I38" s="247"/>
      <c r="J38" s="247"/>
      <c r="K38" s="247"/>
    </row>
    <row r="39" spans="1:25">
      <c r="A39" s="251" t="s">
        <v>459</v>
      </c>
      <c r="B39" s="247"/>
      <c r="C39" s="247"/>
      <c r="D39" s="247"/>
      <c r="E39" s="247"/>
      <c r="F39" s="247"/>
      <c r="G39" s="247"/>
      <c r="H39" s="247"/>
      <c r="I39" s="247"/>
      <c r="J39" s="247"/>
      <c r="K39" s="247"/>
    </row>
    <row r="40" spans="1:25">
      <c r="A40" s="655" t="s">
        <v>460</v>
      </c>
      <c r="B40" s="230"/>
      <c r="C40" s="485"/>
      <c r="D40" s="487" t="s">
        <v>429</v>
      </c>
      <c r="E40" s="485" t="s">
        <v>461</v>
      </c>
      <c r="F40" s="485"/>
      <c r="G40" s="485"/>
      <c r="H40" s="485"/>
      <c r="I40" s="485"/>
      <c r="J40" s="485"/>
      <c r="K40" s="485"/>
    </row>
    <row r="41" spans="1:25">
      <c r="A41" s="655" t="s">
        <v>460</v>
      </c>
      <c r="B41" s="230"/>
      <c r="C41" s="485"/>
      <c r="D41" s="487" t="s">
        <v>429</v>
      </c>
      <c r="E41" s="655" t="s">
        <v>462</v>
      </c>
      <c r="F41" s="485"/>
      <c r="G41" s="485"/>
      <c r="H41" s="485"/>
      <c r="I41" s="485"/>
      <c r="J41" s="485"/>
      <c r="K41" s="485"/>
    </row>
    <row r="42" spans="1:25">
      <c r="A42" s="655" t="s">
        <v>460</v>
      </c>
      <c r="B42" s="230"/>
      <c r="C42" s="485"/>
      <c r="D42" s="487" t="s">
        <v>429</v>
      </c>
      <c r="E42" s="485"/>
      <c r="F42" s="485"/>
      <c r="G42" s="485"/>
      <c r="H42" s="485"/>
      <c r="I42" s="485"/>
      <c r="J42" s="485"/>
      <c r="K42" s="485"/>
    </row>
    <row r="43" spans="1:25">
      <c r="A43" s="655" t="s">
        <v>460</v>
      </c>
      <c r="B43" s="230"/>
      <c r="C43" s="485"/>
      <c r="D43" s="487" t="s">
        <v>429</v>
      </c>
      <c r="E43" s="608"/>
      <c r="F43" s="609"/>
      <c r="G43" s="485"/>
      <c r="H43" s="485"/>
      <c r="I43" s="485"/>
      <c r="J43" s="485"/>
      <c r="K43" s="485"/>
    </row>
    <row r="44" spans="1:25">
      <c r="A44" s="655" t="s">
        <v>460</v>
      </c>
      <c r="B44" s="230"/>
      <c r="C44" s="485"/>
      <c r="D44" s="487" t="s">
        <v>429</v>
      </c>
      <c r="E44" s="485"/>
      <c r="F44" s="485"/>
      <c r="G44" s="485"/>
      <c r="H44" s="485"/>
      <c r="I44" s="485"/>
      <c r="J44" s="485"/>
      <c r="K44" s="485"/>
    </row>
    <row r="45" spans="1:25">
      <c r="A45" s="655" t="s">
        <v>460</v>
      </c>
      <c r="B45" s="230"/>
      <c r="C45" s="485"/>
      <c r="D45" s="487" t="s">
        <v>429</v>
      </c>
      <c r="E45" s="485"/>
      <c r="F45" s="485"/>
      <c r="G45" s="485"/>
      <c r="H45" s="485"/>
      <c r="I45" s="485"/>
      <c r="J45" s="485"/>
      <c r="K45" s="485"/>
    </row>
    <row r="46" spans="1:25">
      <c r="A46" s="655" t="s">
        <v>460</v>
      </c>
      <c r="B46" s="230"/>
      <c r="C46" s="485"/>
      <c r="D46" s="487" t="s">
        <v>429</v>
      </c>
      <c r="E46" s="485"/>
      <c r="F46" s="485"/>
      <c r="G46" s="485"/>
      <c r="H46" s="485"/>
      <c r="I46" s="485"/>
      <c r="J46" s="485"/>
      <c r="K46" s="485"/>
    </row>
    <row r="47" spans="1:25">
      <c r="A47" s="486" t="s">
        <v>463</v>
      </c>
      <c r="B47" s="485"/>
      <c r="C47" s="485"/>
      <c r="D47" s="485"/>
      <c r="E47" s="485"/>
      <c r="F47" s="485"/>
      <c r="G47" s="485"/>
      <c r="H47" s="485"/>
      <c r="I47" s="485"/>
      <c r="J47" s="485"/>
      <c r="K47" s="485"/>
    </row>
    <row r="48" spans="1:25">
      <c r="A48" s="486" t="s">
        <v>464</v>
      </c>
      <c r="B48" s="485"/>
      <c r="C48" s="485"/>
      <c r="D48" s="485"/>
      <c r="E48" s="485"/>
      <c r="F48" s="485"/>
      <c r="G48" s="485"/>
      <c r="H48" s="485"/>
      <c r="I48" s="485"/>
      <c r="J48" s="485"/>
      <c r="K48" s="485"/>
    </row>
    <row r="52" spans="1:1" hidden="1">
      <c r="A52" s="484" t="s">
        <v>465</v>
      </c>
    </row>
    <row r="53" spans="1:1" hidden="1">
      <c r="A53" s="484" t="s">
        <v>466</v>
      </c>
    </row>
    <row r="54" spans="1:1" hidden="1">
      <c r="A54" s="484" t="s">
        <v>467</v>
      </c>
    </row>
    <row r="55" spans="1:1" hidden="1">
      <c r="A55" s="484" t="s">
        <v>468</v>
      </c>
    </row>
  </sheetData>
  <phoneticPr fontId="2"/>
  <pageMargins left="0.78740157480314965" right="0.78740157480314965" top="0.98425196850393704" bottom="0.98425196850393704" header="0.51181102362204722" footer="0.51181102362204722"/>
  <pageSetup paperSize="9" orientation="portrait" horizontalDpi="4294967294" r:id="rId1"/>
  <headerFooter alignWithMargins="0">
    <oddHeader>&amp;R&amp;D</oddHeader>
    <oddFooter>&amp;L&amp;F&amp;R&amp;A</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EJ73"/>
  <sheetViews>
    <sheetView showGridLines="0" tabSelected="1" zoomScale="80" zoomScaleNormal="80" workbookViewId="0">
      <pane xSplit="3" ySplit="4" topLeftCell="D5" activePane="bottomRight" state="frozen"/>
      <selection pane="bottomRight" activeCell="F10" sqref="F10"/>
      <selection pane="bottomLeft" activeCell="F67" sqref="F67:G67"/>
      <selection pane="topRight" activeCell="F67" sqref="F67:G67"/>
    </sheetView>
  </sheetViews>
  <sheetFormatPr defaultColWidth="11" defaultRowHeight="13.5"/>
  <cols>
    <col min="1" max="1" width="6.375" style="57" bestFit="1" customWidth="1"/>
    <col min="2" max="2" width="5.25" style="113" bestFit="1" customWidth="1"/>
    <col min="3" max="3" width="5.25" style="113" customWidth="1"/>
    <col min="4" max="5" width="9.125" style="105" customWidth="1"/>
    <col min="6" max="7" width="9.125" style="52" customWidth="1"/>
    <col min="8" max="9" width="9.375" style="52" customWidth="1"/>
    <col min="10" max="10" width="14.375" style="52" bestFit="1" customWidth="1"/>
    <col min="11" max="11" width="9" style="52" hidden="1" customWidth="1"/>
    <col min="12" max="12" width="11.125" style="52" hidden="1" customWidth="1"/>
    <col min="13" max="13" width="11.75" style="52" bestFit="1" customWidth="1"/>
    <col min="14" max="15" width="10.625" style="52" customWidth="1"/>
    <col min="16" max="16" width="12" style="52" bestFit="1" customWidth="1"/>
    <col min="17" max="17" width="11" style="52" bestFit="1" customWidth="1"/>
    <col min="18" max="18" width="9.375" style="52" hidden="1" customWidth="1"/>
    <col min="19" max="19" width="11.375" style="52" hidden="1" customWidth="1"/>
    <col min="20" max="30" width="9.375" style="52" hidden="1" customWidth="1"/>
    <col min="31" max="31" width="14.625" style="343" customWidth="1"/>
    <col min="32" max="32" width="65.625" style="343" customWidth="1"/>
    <col min="33" max="33" width="8.875" style="52" customWidth="1"/>
    <col min="34" max="34" width="8.875" style="114" customWidth="1"/>
    <col min="35" max="35" width="8.875" style="114" hidden="1" customWidth="1"/>
    <col min="36" max="36" width="8.875" style="52" hidden="1" customWidth="1"/>
    <col min="37" max="37" width="8.875" style="114" hidden="1" customWidth="1"/>
    <col min="38" max="39" width="8.875" style="115" hidden="1" customWidth="1"/>
    <col min="40" max="45" width="12" style="115" hidden="1" customWidth="1"/>
    <col min="46" max="47" width="13.125" style="115" hidden="1" customWidth="1"/>
    <col min="48" max="49" width="8.875" style="115" customWidth="1"/>
    <col min="50" max="52" width="8.875" style="115" hidden="1" customWidth="1"/>
    <col min="53" max="54" width="8.875" style="57" hidden="1" customWidth="1"/>
    <col min="55" max="60" width="12" style="57" hidden="1" customWidth="1"/>
    <col min="61" max="62" width="13.125" style="57" hidden="1" customWidth="1"/>
    <col min="63" max="64" width="8.875" style="57" customWidth="1"/>
    <col min="65" max="69" width="8.875" style="57" hidden="1" customWidth="1"/>
    <col min="70" max="75" width="12" style="57" hidden="1" customWidth="1"/>
    <col min="76" max="77" width="13.125" style="57" hidden="1" customWidth="1"/>
    <col min="78" max="79" width="8.875" style="57" customWidth="1"/>
    <col min="80" max="84" width="8.875" style="57" hidden="1" customWidth="1"/>
    <col min="85" max="90" width="12" style="57" hidden="1" customWidth="1"/>
    <col min="91" max="92" width="13.125" style="57" hidden="1" customWidth="1"/>
    <col min="93" max="94" width="8.875" style="57" customWidth="1"/>
    <col min="95" max="99" width="8.875" style="57" hidden="1" customWidth="1"/>
    <col min="100" max="105" width="12" style="57" hidden="1" customWidth="1"/>
    <col min="106" max="107" width="13.125" style="57" hidden="1" customWidth="1"/>
    <col min="108" max="109" width="10.625" style="57" customWidth="1"/>
    <col min="110" max="110" width="8.375" style="57" hidden="1" customWidth="1"/>
    <col min="111" max="111" width="11.125" style="57" hidden="1" customWidth="1"/>
    <col min="112" max="112" width="13.75" style="57" hidden="1" customWidth="1"/>
    <col min="113" max="113" width="14" style="57" hidden="1" customWidth="1"/>
    <col min="114" max="114" width="11" style="57" hidden="1" customWidth="1"/>
    <col min="115" max="115" width="11.375" style="57" hidden="1" customWidth="1"/>
    <col min="116" max="116" width="23" style="57" hidden="1" customWidth="1"/>
    <col min="117" max="117" width="11" style="57" hidden="1" customWidth="1"/>
    <col min="118" max="122" width="3.375" style="57" hidden="1" customWidth="1"/>
    <col min="123" max="123" width="3.125" style="57" hidden="1" customWidth="1"/>
    <col min="124" max="125" width="11" style="57" hidden="1" customWidth="1"/>
    <col min="126" max="126" width="10" style="113" hidden="1" customWidth="1"/>
    <col min="127" max="127" width="18.75" style="57" hidden="1" customWidth="1"/>
    <col min="128" max="128" width="2.125" style="113" hidden="1" customWidth="1"/>
    <col min="129" max="129" width="9.375" style="113" hidden="1" customWidth="1"/>
    <col min="130" max="130" width="14.25" style="113" hidden="1" customWidth="1"/>
    <col min="131" max="131" width="7.125" style="57" hidden="1" customWidth="1"/>
    <col min="132" max="132" width="11" style="57" hidden="1" customWidth="1"/>
    <col min="133" max="133" width="13.375" style="113" hidden="1" customWidth="1"/>
    <col min="134" max="138" width="11" style="57" hidden="1" customWidth="1"/>
    <col min="139" max="16384" width="11" style="57"/>
  </cols>
  <sheetData>
    <row r="1" spans="1:140" ht="15" customHeight="1">
      <c r="A1" s="189">
        <v>2021</v>
      </c>
      <c r="B1" s="127" t="s">
        <v>469</v>
      </c>
      <c r="C1" s="851" t="s">
        <v>470</v>
      </c>
      <c r="D1" s="852"/>
      <c r="E1" s="143" t="s">
        <v>471</v>
      </c>
      <c r="F1" s="195" t="s">
        <v>472</v>
      </c>
      <c r="G1" s="233" t="s">
        <v>473</v>
      </c>
      <c r="H1" s="210"/>
      <c r="I1" s="210"/>
      <c r="J1" s="136" t="s">
        <v>474</v>
      </c>
      <c r="K1" s="140"/>
      <c r="L1" s="332" t="s">
        <v>475</v>
      </c>
      <c r="M1" s="136" t="s">
        <v>476</v>
      </c>
      <c r="N1" s="136" t="s">
        <v>477</v>
      </c>
      <c r="O1" s="180"/>
      <c r="P1" s="245"/>
      <c r="Q1" s="245"/>
      <c r="R1" s="784" t="s">
        <v>478</v>
      </c>
      <c r="S1" s="785"/>
      <c r="T1" s="785"/>
      <c r="U1" s="785"/>
      <c r="V1" s="785"/>
      <c r="W1" s="785"/>
      <c r="X1" s="785"/>
      <c r="Y1" s="785"/>
      <c r="Z1" s="785"/>
      <c r="AA1" s="785"/>
      <c r="AB1" s="785"/>
      <c r="AC1" s="785"/>
      <c r="AD1" s="576"/>
      <c r="AE1" s="242"/>
      <c r="AF1" s="245"/>
      <c r="AG1" s="796" t="s">
        <v>479</v>
      </c>
      <c r="AH1" s="797"/>
      <c r="AI1" s="172"/>
      <c r="AJ1" s="172"/>
      <c r="AK1" s="172"/>
      <c r="AL1" s="172"/>
      <c r="AM1" s="172"/>
      <c r="AN1" s="172"/>
      <c r="AO1" s="172"/>
      <c r="AP1" s="172"/>
      <c r="AQ1" s="172"/>
      <c r="AR1" s="172"/>
      <c r="AS1" s="172"/>
      <c r="AT1" s="172"/>
      <c r="AU1" s="177"/>
      <c r="AV1" s="796" t="s">
        <v>480</v>
      </c>
      <c r="AW1" s="797"/>
      <c r="AX1" s="172"/>
      <c r="AY1" s="172"/>
      <c r="AZ1" s="172"/>
      <c r="BA1" s="172"/>
      <c r="BB1" s="172"/>
      <c r="BC1" s="173"/>
      <c r="BD1" s="173"/>
      <c r="BE1" s="173"/>
      <c r="BF1" s="173"/>
      <c r="BG1" s="173"/>
      <c r="BH1" s="173"/>
      <c r="BI1" s="173"/>
      <c r="BJ1" s="173"/>
      <c r="BK1" s="796" t="s">
        <v>481</v>
      </c>
      <c r="BL1" s="797"/>
      <c r="BM1" s="53"/>
      <c r="BN1" s="53"/>
      <c r="BO1" s="53"/>
      <c r="BP1" s="53"/>
      <c r="BQ1" s="53"/>
      <c r="BR1" s="54"/>
      <c r="BS1" s="54"/>
      <c r="BT1" s="54"/>
      <c r="BU1" s="54"/>
      <c r="BV1" s="54"/>
      <c r="BW1" s="54"/>
      <c r="BX1" s="54"/>
      <c r="BY1" s="54"/>
      <c r="BZ1" s="841" t="s">
        <v>482</v>
      </c>
      <c r="CA1" s="847"/>
      <c r="CB1" s="53"/>
      <c r="CC1" s="53"/>
      <c r="CD1" s="53"/>
      <c r="CE1" s="53"/>
      <c r="CF1" s="53"/>
      <c r="CG1" s="54"/>
      <c r="CH1" s="54"/>
      <c r="CI1" s="54"/>
      <c r="CJ1" s="54"/>
      <c r="CK1" s="54"/>
      <c r="CL1" s="54"/>
      <c r="CM1" s="54"/>
      <c r="CN1" s="54"/>
      <c r="CO1" s="841" t="s">
        <v>483</v>
      </c>
      <c r="CP1" s="842"/>
      <c r="CQ1" s="53"/>
      <c r="CR1" s="53"/>
      <c r="CS1" s="53"/>
      <c r="CT1" s="53"/>
      <c r="CU1" s="53"/>
      <c r="CV1" s="54"/>
      <c r="CW1" s="54"/>
      <c r="CX1" s="54"/>
      <c r="CY1" s="54"/>
      <c r="CZ1" s="54"/>
      <c r="DA1" s="54"/>
      <c r="DB1" s="54"/>
      <c r="DC1" s="55"/>
      <c r="DD1" s="841" t="s">
        <v>484</v>
      </c>
      <c r="DE1" s="842"/>
      <c r="DG1" s="51" t="s">
        <v>485</v>
      </c>
      <c r="DH1" s="51" t="s">
        <v>486</v>
      </c>
      <c r="DI1" s="51" t="s">
        <v>487</v>
      </c>
      <c r="DJ1" s="51" t="s">
        <v>488</v>
      </c>
      <c r="DK1" s="341"/>
      <c r="DL1" s="56" t="s">
        <v>424</v>
      </c>
      <c r="DM1" s="120">
        <f>DATE($A$1,DO1,DQ1)</f>
        <v>44197</v>
      </c>
      <c r="DN1" s="663" t="s">
        <v>489</v>
      </c>
      <c r="DO1" s="51">
        <f>祝日表!B3</f>
        <v>1</v>
      </c>
      <c r="DP1" s="664" t="s">
        <v>425</v>
      </c>
      <c r="DQ1" s="51">
        <f>祝日表!D3</f>
        <v>1</v>
      </c>
      <c r="DR1" s="665" t="s">
        <v>426</v>
      </c>
      <c r="DS1" s="145"/>
      <c r="DT1" s="158" t="s">
        <v>490</v>
      </c>
      <c r="DU1" s="158"/>
      <c r="DV1" s="152"/>
      <c r="DW1" s="144"/>
      <c r="DX1" s="152"/>
      <c r="DY1" s="152"/>
      <c r="DZ1" s="152"/>
      <c r="EA1" s="144"/>
      <c r="EB1" s="144"/>
      <c r="EC1" s="152"/>
      <c r="ED1" s="144"/>
      <c r="EE1" s="622"/>
      <c r="EF1" s="558" t="s">
        <v>491</v>
      </c>
      <c r="EG1" s="545"/>
      <c r="EH1" s="545"/>
      <c r="EI1" s="229"/>
      <c r="EJ1" s="229"/>
    </row>
    <row r="2" spans="1:140" ht="15" customHeight="1" thickBot="1">
      <c r="A2" s="189">
        <v>8</v>
      </c>
      <c r="B2" s="127" t="s">
        <v>425</v>
      </c>
      <c r="C2" s="849" t="s">
        <v>492</v>
      </c>
      <c r="D2" s="850"/>
      <c r="E2" s="190"/>
      <c r="F2" s="190"/>
      <c r="G2" s="786" t="s">
        <v>493</v>
      </c>
      <c r="H2" s="787"/>
      <c r="I2" s="788"/>
      <c r="J2" s="565" t="s">
        <v>494</v>
      </c>
      <c r="K2" s="231"/>
      <c r="L2" s="333" t="s">
        <v>495</v>
      </c>
      <c r="M2" s="226" t="s">
        <v>496</v>
      </c>
      <c r="N2" s="226" t="s">
        <v>497</v>
      </c>
      <c r="O2" s="214"/>
      <c r="P2" s="243" t="s">
        <v>498</v>
      </c>
      <c r="Q2" s="243"/>
      <c r="R2" s="359"/>
      <c r="S2" s="361" t="s">
        <v>499</v>
      </c>
      <c r="T2" s="361"/>
      <c r="U2" s="356"/>
      <c r="V2" s="356"/>
      <c r="W2" s="356"/>
      <c r="X2" s="356"/>
      <c r="Y2" s="356"/>
      <c r="Z2" s="356"/>
      <c r="AA2" s="356"/>
      <c r="AB2" s="356"/>
      <c r="AC2" s="356"/>
      <c r="AD2" s="577"/>
      <c r="AE2" s="243"/>
      <c r="AF2" s="243"/>
      <c r="AG2" s="798"/>
      <c r="AH2" s="799"/>
      <c r="AI2" s="666"/>
      <c r="AJ2" s="666"/>
      <c r="AK2" s="666"/>
      <c r="AL2" s="666"/>
      <c r="AM2" s="667"/>
      <c r="AN2" s="215" t="s">
        <v>500</v>
      </c>
      <c r="AO2" s="173"/>
      <c r="AP2" s="173"/>
      <c r="AQ2" s="216"/>
      <c r="AR2" s="216"/>
      <c r="AS2" s="173"/>
      <c r="AT2" s="173"/>
      <c r="AU2" s="174"/>
      <c r="AV2" s="853"/>
      <c r="AW2" s="854"/>
      <c r="AX2" s="666"/>
      <c r="AY2" s="666"/>
      <c r="AZ2" s="666"/>
      <c r="BA2" s="666"/>
      <c r="BB2" s="667"/>
      <c r="BC2" s="175" t="s">
        <v>501</v>
      </c>
      <c r="BD2" s="172"/>
      <c r="BE2" s="172"/>
      <c r="BF2" s="176"/>
      <c r="BG2" s="176"/>
      <c r="BH2" s="172"/>
      <c r="BI2" s="172"/>
      <c r="BJ2" s="172"/>
      <c r="BK2" s="853"/>
      <c r="BL2" s="854"/>
      <c r="BM2" s="668"/>
      <c r="BN2" s="668"/>
      <c r="BO2" s="668"/>
      <c r="BP2" s="668"/>
      <c r="BQ2" s="669"/>
      <c r="BR2" s="56" t="s">
        <v>502</v>
      </c>
      <c r="BS2" s="53"/>
      <c r="BT2" s="53"/>
      <c r="BU2" s="60"/>
      <c r="BV2" s="60"/>
      <c r="BW2" s="53"/>
      <c r="BX2" s="53"/>
      <c r="BY2" s="53"/>
      <c r="BZ2" s="845"/>
      <c r="CA2" s="848"/>
      <c r="CB2" s="668"/>
      <c r="CC2" s="668"/>
      <c r="CD2" s="668"/>
      <c r="CE2" s="668"/>
      <c r="CF2" s="669"/>
      <c r="CG2" s="56" t="s">
        <v>503</v>
      </c>
      <c r="CH2" s="53"/>
      <c r="CI2" s="53"/>
      <c r="CJ2" s="60"/>
      <c r="CK2" s="60"/>
      <c r="CL2" s="53"/>
      <c r="CM2" s="53"/>
      <c r="CN2" s="53"/>
      <c r="CO2" s="845"/>
      <c r="CP2" s="846"/>
      <c r="CQ2" s="668"/>
      <c r="CR2" s="668"/>
      <c r="CS2" s="668"/>
      <c r="CT2" s="668"/>
      <c r="CU2" s="669"/>
      <c r="CV2" s="56" t="s">
        <v>504</v>
      </c>
      <c r="CW2" s="53"/>
      <c r="CX2" s="53"/>
      <c r="CY2" s="60"/>
      <c r="CZ2" s="60"/>
      <c r="DA2" s="53"/>
      <c r="DB2" s="53"/>
      <c r="DC2" s="53"/>
      <c r="DD2" s="843"/>
      <c r="DE2" s="844"/>
      <c r="DF2" s="111"/>
      <c r="DG2" s="58">
        <v>2005</v>
      </c>
      <c r="DH2" s="58">
        <v>1</v>
      </c>
      <c r="DI2" s="339" t="s">
        <v>505</v>
      </c>
      <c r="DJ2" s="347" t="s">
        <v>506</v>
      </c>
      <c r="DK2" s="341"/>
      <c r="DL2" s="571" t="s">
        <v>428</v>
      </c>
      <c r="DM2" s="120">
        <f t="shared" ref="DM2:DM8" si="0">DATE($A$1,DO2,DQ2)</f>
        <v>44238</v>
      </c>
      <c r="DN2" s="162" t="s">
        <v>489</v>
      </c>
      <c r="DO2" s="51">
        <f>祝日表!B4</f>
        <v>2</v>
      </c>
      <c r="DP2" s="572" t="s">
        <v>425</v>
      </c>
      <c r="DQ2" s="51">
        <f>祝日表!D4</f>
        <v>11</v>
      </c>
      <c r="DR2" s="573" t="s">
        <v>426</v>
      </c>
      <c r="DS2" s="150"/>
      <c r="DT2" s="58" t="s">
        <v>440</v>
      </c>
      <c r="DU2" s="144"/>
      <c r="DV2" s="152"/>
      <c r="DW2" s="144"/>
      <c r="DX2" s="152"/>
      <c r="DY2" s="185" t="s">
        <v>507</v>
      </c>
      <c r="DZ2" s="118"/>
      <c r="EA2" s="117"/>
      <c r="EB2" s="144"/>
      <c r="EC2" s="152"/>
      <c r="ED2" s="144"/>
      <c r="EE2" s="622"/>
      <c r="EF2" s="558" t="s">
        <v>508</v>
      </c>
      <c r="EG2" s="545"/>
      <c r="EH2" s="545"/>
      <c r="EI2" s="229"/>
      <c r="EJ2" s="229"/>
    </row>
    <row r="3" spans="1:140" s="77" customFormat="1" ht="15" customHeight="1" thickTop="1" thickBot="1">
      <c r="A3" s="75"/>
      <c r="B3" s="130"/>
      <c r="C3" s="128"/>
      <c r="D3" s="220" t="s">
        <v>5</v>
      </c>
      <c r="E3" s="61" t="s">
        <v>509</v>
      </c>
      <c r="F3" s="62" t="s">
        <v>8</v>
      </c>
      <c r="G3" s="670" t="s">
        <v>509</v>
      </c>
      <c r="H3" s="79" t="s">
        <v>510</v>
      </c>
      <c r="I3" s="79" t="s">
        <v>511</v>
      </c>
      <c r="J3" s="360" t="s">
        <v>512</v>
      </c>
      <c r="K3" s="232" t="s">
        <v>79</v>
      </c>
      <c r="L3" s="211" t="s">
        <v>513</v>
      </c>
      <c r="M3" s="213" t="s">
        <v>514</v>
      </c>
      <c r="N3" s="671"/>
      <c r="O3" s="672"/>
      <c r="P3" s="243" t="s">
        <v>515</v>
      </c>
      <c r="Q3" s="344" t="s">
        <v>516</v>
      </c>
      <c r="R3" s="673"/>
      <c r="S3" s="674" t="s">
        <v>517</v>
      </c>
      <c r="T3" s="674"/>
      <c r="U3" s="675"/>
      <c r="V3" s="675"/>
      <c r="W3" s="673"/>
      <c r="X3" s="675"/>
      <c r="Y3" s="675"/>
      <c r="Z3" s="675"/>
      <c r="AA3" s="675"/>
      <c r="AB3" s="675"/>
      <c r="AC3" s="675"/>
      <c r="AD3" s="676"/>
      <c r="AE3" s="331" t="s">
        <v>518</v>
      </c>
      <c r="AF3" s="542" t="s">
        <v>519</v>
      </c>
      <c r="AG3" s="791" t="s">
        <v>520</v>
      </c>
      <c r="AH3" s="789" t="s">
        <v>521</v>
      </c>
      <c r="AI3" s="64" t="s">
        <v>522</v>
      </c>
      <c r="AJ3" s="65"/>
      <c r="AK3" s="66" t="s">
        <v>523</v>
      </c>
      <c r="AL3" s="677"/>
      <c r="AM3" s="677"/>
      <c r="AN3" s="67" t="s">
        <v>524</v>
      </c>
      <c r="AO3" s="68"/>
      <c r="AP3" s="69"/>
      <c r="AQ3" s="70" t="s">
        <v>525</v>
      </c>
      <c r="AR3" s="71"/>
      <c r="AS3" s="69"/>
      <c r="AT3" s="72"/>
      <c r="AU3" s="73"/>
      <c r="AV3" s="791" t="s">
        <v>520</v>
      </c>
      <c r="AW3" s="789" t="s">
        <v>521</v>
      </c>
      <c r="AX3" s="64" t="s">
        <v>522</v>
      </c>
      <c r="AY3" s="65"/>
      <c r="AZ3" s="66" t="s">
        <v>523</v>
      </c>
      <c r="BA3" s="677"/>
      <c r="BB3" s="677"/>
      <c r="BC3" s="67" t="s">
        <v>524</v>
      </c>
      <c r="BD3" s="68"/>
      <c r="BE3" s="69"/>
      <c r="BF3" s="70" t="s">
        <v>525</v>
      </c>
      <c r="BG3" s="71"/>
      <c r="BH3" s="69"/>
      <c r="BI3" s="72"/>
      <c r="BJ3" s="73"/>
      <c r="BK3" s="791" t="s">
        <v>520</v>
      </c>
      <c r="BL3" s="789" t="s">
        <v>521</v>
      </c>
      <c r="BM3" s="64" t="s">
        <v>522</v>
      </c>
      <c r="BN3" s="65"/>
      <c r="BO3" s="66" t="s">
        <v>523</v>
      </c>
      <c r="BP3" s="677"/>
      <c r="BQ3" s="677"/>
      <c r="BR3" s="67" t="s">
        <v>524</v>
      </c>
      <c r="BS3" s="68"/>
      <c r="BT3" s="69"/>
      <c r="BU3" s="70" t="s">
        <v>525</v>
      </c>
      <c r="BV3" s="71"/>
      <c r="BW3" s="69"/>
      <c r="BX3" s="72"/>
      <c r="BY3" s="74"/>
      <c r="BZ3" s="791" t="s">
        <v>520</v>
      </c>
      <c r="CA3" s="857" t="s">
        <v>521</v>
      </c>
      <c r="CB3" s="217" t="s">
        <v>522</v>
      </c>
      <c r="CC3" s="65"/>
      <c r="CD3" s="66" t="s">
        <v>523</v>
      </c>
      <c r="CE3" s="677"/>
      <c r="CF3" s="677"/>
      <c r="CG3" s="67" t="s">
        <v>524</v>
      </c>
      <c r="CH3" s="68"/>
      <c r="CI3" s="69"/>
      <c r="CJ3" s="70" t="s">
        <v>525</v>
      </c>
      <c r="CK3" s="71"/>
      <c r="CL3" s="69"/>
      <c r="CM3" s="72"/>
      <c r="CN3" s="73"/>
      <c r="CO3" s="791" t="s">
        <v>520</v>
      </c>
      <c r="CP3" s="789" t="s">
        <v>521</v>
      </c>
      <c r="CQ3" s="67" t="s">
        <v>522</v>
      </c>
      <c r="CR3" s="65"/>
      <c r="CS3" s="66" t="s">
        <v>523</v>
      </c>
      <c r="CT3" s="677"/>
      <c r="CU3" s="677"/>
      <c r="CV3" s="67" t="s">
        <v>524</v>
      </c>
      <c r="CW3" s="68"/>
      <c r="CX3" s="69"/>
      <c r="CY3" s="70" t="s">
        <v>525</v>
      </c>
      <c r="CZ3" s="71"/>
      <c r="DA3" s="69"/>
      <c r="DB3" s="72"/>
      <c r="DC3" s="74"/>
      <c r="DD3" s="733"/>
      <c r="DE3" s="734"/>
      <c r="DF3" s="126"/>
      <c r="DG3" s="58">
        <v>2006</v>
      </c>
      <c r="DH3" s="58">
        <v>2</v>
      </c>
      <c r="DI3" s="339" t="s">
        <v>526</v>
      </c>
      <c r="DJ3" s="348" t="s">
        <v>527</v>
      </c>
      <c r="DK3" s="352"/>
      <c r="DL3" s="571" t="s">
        <v>430</v>
      </c>
      <c r="DM3" s="120">
        <f t="shared" si="0"/>
        <v>44315</v>
      </c>
      <c r="DN3" s="162" t="s">
        <v>489</v>
      </c>
      <c r="DO3" s="51">
        <f>祝日表!B5</f>
        <v>4</v>
      </c>
      <c r="DP3" s="572" t="s">
        <v>425</v>
      </c>
      <c r="DQ3" s="51">
        <f>祝日表!D5</f>
        <v>29</v>
      </c>
      <c r="DR3" s="573" t="s">
        <v>426</v>
      </c>
      <c r="DS3" s="145"/>
      <c r="DT3" s="59">
        <f>祝日表!B14</f>
        <v>1</v>
      </c>
      <c r="DU3" s="54" t="s">
        <v>425</v>
      </c>
      <c r="DV3" s="119" t="str">
        <f>祝日表!D14</f>
        <v>第2月曜</v>
      </c>
      <c r="DW3" s="144"/>
      <c r="DX3" s="153"/>
      <c r="DY3" s="186">
        <f>DATE(A1,A2-1,21)</f>
        <v>44398</v>
      </c>
      <c r="DZ3" s="187">
        <f>DATE(A1,A2,20)</f>
        <v>44428</v>
      </c>
      <c r="EA3" s="188">
        <f>DATEDIF(DY3,DZ3+1,"ｄ")</f>
        <v>31</v>
      </c>
      <c r="EB3" s="146"/>
      <c r="EC3" s="153"/>
      <c r="ED3" s="146"/>
      <c r="EE3" s="623"/>
      <c r="EF3" s="558" t="s">
        <v>528</v>
      </c>
      <c r="EG3" s="545"/>
      <c r="EH3" s="545"/>
      <c r="EI3" s="229"/>
      <c r="EJ3" s="229"/>
    </row>
    <row r="4" spans="1:140" s="77" customFormat="1" ht="15" customHeight="1" thickTop="1">
      <c r="A4" s="78" t="s">
        <v>529</v>
      </c>
      <c r="B4" s="131" t="s">
        <v>530</v>
      </c>
      <c r="C4" s="678" t="s">
        <v>531</v>
      </c>
      <c r="D4" s="143" t="s">
        <v>532</v>
      </c>
      <c r="E4" s="679">
        <v>15</v>
      </c>
      <c r="F4" s="63" t="s">
        <v>532</v>
      </c>
      <c r="G4" s="680">
        <f>E4</f>
        <v>15</v>
      </c>
      <c r="H4" s="79" t="s">
        <v>533</v>
      </c>
      <c r="I4" s="79" t="s">
        <v>534</v>
      </c>
      <c r="J4" s="79" t="s">
        <v>535</v>
      </c>
      <c r="K4" s="212" t="s">
        <v>84</v>
      </c>
      <c r="L4" s="79" t="s">
        <v>536</v>
      </c>
      <c r="M4" s="79" t="s">
        <v>537</v>
      </c>
      <c r="N4" s="79" t="s">
        <v>538</v>
      </c>
      <c r="O4" s="671" t="s">
        <v>539</v>
      </c>
      <c r="P4" s="244" t="s">
        <v>540</v>
      </c>
      <c r="Q4" s="345" t="s">
        <v>541</v>
      </c>
      <c r="R4" s="681" t="s">
        <v>542</v>
      </c>
      <c r="S4" s="90" t="s">
        <v>543</v>
      </c>
      <c r="T4" s="90" t="s">
        <v>544</v>
      </c>
      <c r="U4" s="90" t="s">
        <v>545</v>
      </c>
      <c r="V4" s="90" t="s">
        <v>546</v>
      </c>
      <c r="W4" s="90" t="s">
        <v>547</v>
      </c>
      <c r="X4" s="90" t="s">
        <v>548</v>
      </c>
      <c r="Y4" s="90" t="s">
        <v>549</v>
      </c>
      <c r="Z4" s="90" t="s">
        <v>550</v>
      </c>
      <c r="AA4" s="90" t="s">
        <v>551</v>
      </c>
      <c r="AB4" s="90" t="s">
        <v>552</v>
      </c>
      <c r="AC4" s="90" t="s">
        <v>553</v>
      </c>
      <c r="AD4" s="578" t="s">
        <v>554</v>
      </c>
      <c r="AE4" s="338" t="s">
        <v>555</v>
      </c>
      <c r="AF4" s="543" t="s">
        <v>556</v>
      </c>
      <c r="AG4" s="855"/>
      <c r="AH4" s="856"/>
      <c r="AI4" s="81" t="s">
        <v>3</v>
      </c>
      <c r="AJ4" s="82" t="s">
        <v>4</v>
      </c>
      <c r="AK4" s="81" t="s">
        <v>557</v>
      </c>
      <c r="AL4" s="83" t="s">
        <v>558</v>
      </c>
      <c r="AM4" s="84" t="s">
        <v>559</v>
      </c>
      <c r="AN4" s="85" t="s">
        <v>560</v>
      </c>
      <c r="AO4" s="86" t="s">
        <v>561</v>
      </c>
      <c r="AP4" s="82" t="s">
        <v>562</v>
      </c>
      <c r="AQ4" s="85" t="s">
        <v>560</v>
      </c>
      <c r="AR4" s="86" t="s">
        <v>561</v>
      </c>
      <c r="AS4" s="82" t="s">
        <v>562</v>
      </c>
      <c r="AT4" s="80" t="s">
        <v>484</v>
      </c>
      <c r="AU4" s="87" t="s">
        <v>563</v>
      </c>
      <c r="AV4" s="792"/>
      <c r="AW4" s="790"/>
      <c r="AX4" s="81" t="s">
        <v>3</v>
      </c>
      <c r="AY4" s="82" t="s">
        <v>4</v>
      </c>
      <c r="AZ4" s="81" t="s">
        <v>557</v>
      </c>
      <c r="BA4" s="83" t="s">
        <v>558</v>
      </c>
      <c r="BB4" s="84" t="s">
        <v>559</v>
      </c>
      <c r="BC4" s="85" t="s">
        <v>560</v>
      </c>
      <c r="BD4" s="86" t="s">
        <v>561</v>
      </c>
      <c r="BE4" s="82" t="s">
        <v>562</v>
      </c>
      <c r="BF4" s="85" t="s">
        <v>560</v>
      </c>
      <c r="BG4" s="86" t="s">
        <v>561</v>
      </c>
      <c r="BH4" s="82" t="s">
        <v>562</v>
      </c>
      <c r="BI4" s="80" t="s">
        <v>484</v>
      </c>
      <c r="BJ4" s="87" t="s">
        <v>563</v>
      </c>
      <c r="BK4" s="792"/>
      <c r="BL4" s="790"/>
      <c r="BM4" s="81" t="s">
        <v>3</v>
      </c>
      <c r="BN4" s="82" t="s">
        <v>4</v>
      </c>
      <c r="BO4" s="81" t="s">
        <v>557</v>
      </c>
      <c r="BP4" s="83" t="s">
        <v>558</v>
      </c>
      <c r="BQ4" s="84" t="s">
        <v>559</v>
      </c>
      <c r="BR4" s="85" t="s">
        <v>560</v>
      </c>
      <c r="BS4" s="86" t="s">
        <v>561</v>
      </c>
      <c r="BT4" s="82" t="s">
        <v>562</v>
      </c>
      <c r="BU4" s="85" t="s">
        <v>560</v>
      </c>
      <c r="BV4" s="86" t="s">
        <v>561</v>
      </c>
      <c r="BW4" s="82" t="s">
        <v>562</v>
      </c>
      <c r="BX4" s="80" t="s">
        <v>484</v>
      </c>
      <c r="BY4" s="89" t="s">
        <v>563</v>
      </c>
      <c r="BZ4" s="792"/>
      <c r="CA4" s="858"/>
      <c r="CB4" s="88" t="s">
        <v>3</v>
      </c>
      <c r="CC4" s="82" t="s">
        <v>4</v>
      </c>
      <c r="CD4" s="81" t="s">
        <v>557</v>
      </c>
      <c r="CE4" s="83" t="s">
        <v>558</v>
      </c>
      <c r="CF4" s="84" t="s">
        <v>559</v>
      </c>
      <c r="CG4" s="85" t="s">
        <v>560</v>
      </c>
      <c r="CH4" s="86" t="s">
        <v>561</v>
      </c>
      <c r="CI4" s="82" t="s">
        <v>562</v>
      </c>
      <c r="CJ4" s="85" t="s">
        <v>560</v>
      </c>
      <c r="CK4" s="86" t="s">
        <v>561</v>
      </c>
      <c r="CL4" s="82" t="s">
        <v>562</v>
      </c>
      <c r="CM4" s="80" t="s">
        <v>484</v>
      </c>
      <c r="CN4" s="87" t="s">
        <v>563</v>
      </c>
      <c r="CO4" s="792"/>
      <c r="CP4" s="790"/>
      <c r="CQ4" s="88" t="s">
        <v>3</v>
      </c>
      <c r="CR4" s="82" t="s">
        <v>4</v>
      </c>
      <c r="CS4" s="81" t="s">
        <v>557</v>
      </c>
      <c r="CT4" s="83" t="s">
        <v>558</v>
      </c>
      <c r="CU4" s="84" t="s">
        <v>559</v>
      </c>
      <c r="CV4" s="85" t="s">
        <v>560</v>
      </c>
      <c r="CW4" s="86" t="s">
        <v>561</v>
      </c>
      <c r="CX4" s="82" t="s">
        <v>562</v>
      </c>
      <c r="CY4" s="85" t="s">
        <v>560</v>
      </c>
      <c r="CZ4" s="86" t="s">
        <v>561</v>
      </c>
      <c r="DA4" s="82" t="s">
        <v>562</v>
      </c>
      <c r="DB4" s="80" t="s">
        <v>484</v>
      </c>
      <c r="DC4" s="89" t="s">
        <v>563</v>
      </c>
      <c r="DD4" s="78" t="s">
        <v>537</v>
      </c>
      <c r="DE4" s="135" t="s">
        <v>564</v>
      </c>
      <c r="DF4" s="126"/>
      <c r="DG4" s="76">
        <v>2007</v>
      </c>
      <c r="DH4" s="76">
        <v>3</v>
      </c>
      <c r="DI4" s="340" t="s">
        <v>565</v>
      </c>
      <c r="DJ4" s="349" t="s">
        <v>566</v>
      </c>
      <c r="DK4" s="352"/>
      <c r="DL4" s="571" t="s">
        <v>431</v>
      </c>
      <c r="DM4" s="120">
        <f t="shared" si="0"/>
        <v>44319</v>
      </c>
      <c r="DN4" s="162" t="s">
        <v>489</v>
      </c>
      <c r="DO4" s="51">
        <f>祝日表!B6</f>
        <v>5</v>
      </c>
      <c r="DP4" s="572" t="s">
        <v>425</v>
      </c>
      <c r="DQ4" s="51">
        <f>祝日表!D6</f>
        <v>3</v>
      </c>
      <c r="DR4" s="573" t="s">
        <v>426</v>
      </c>
      <c r="DS4" s="145"/>
      <c r="DT4" s="58" t="s">
        <v>567</v>
      </c>
      <c r="DU4" s="58" t="s">
        <v>568</v>
      </c>
      <c r="DV4" s="51" t="s">
        <v>569</v>
      </c>
      <c r="DW4" s="144"/>
      <c r="DX4" s="146"/>
      <c r="DY4" s="131" t="s">
        <v>570</v>
      </c>
      <c r="DZ4" s="678" t="s">
        <v>571</v>
      </c>
      <c r="EA4" s="78" t="s">
        <v>572</v>
      </c>
      <c r="EB4" s="146"/>
      <c r="EC4" s="135" t="s">
        <v>573</v>
      </c>
      <c r="ED4" s="146"/>
      <c r="EE4" s="623"/>
      <c r="EF4" s="558" t="s">
        <v>574</v>
      </c>
      <c r="EG4" s="545"/>
      <c r="EH4" s="545"/>
      <c r="EI4" s="229"/>
      <c r="EJ4" s="229"/>
    </row>
    <row r="5" spans="1:140" s="105" customFormat="1" ht="15" customHeight="1">
      <c r="A5" s="428">
        <f>DATE($A$1,$A$2-1,21)</f>
        <v>44398</v>
      </c>
      <c r="B5" s="132" t="str">
        <f>CHOOSE(WEEKDAY(A5,1),"日","月","火","水","木","金","土")</f>
        <v>水</v>
      </c>
      <c r="C5" s="129" t="str">
        <f>IF(A5="","",IF(OR(A5=$DM$1,A5=$DM$2,A5=$DM$3,A5=$DM$4,A5=$DM$5,A5=$DM$6,A5=$DM$7,A5=$DM$8,A5=$DM$9,A5=$DM$10,A5=$DM$12,A5=$DM$13,A5=$DM$14,A5=$DM$15,A5=$DM$18,A5=$DM$19,A5=$DM$20,A5=$DM$21,A5=$DM$22,A5=$DM$23,A5=$DM$25,A5=$DM$26,A5=$DM$27,A5=$DM$28,A5=$DM$29,A5=$DM$30,A5=$DM$32,A5=$DM$33,A5=$DM$34,A5=$DM$35,A5=$DM$36),"祝",IF(OR(A5=$DM$38,A5=$DM$39,A5=$DM$40,A5=$DM$41,A5=$DM$42,A5=$DM$43,A5=$DM$44),"休","")))</f>
        <v/>
      </c>
      <c r="D5" s="240"/>
      <c r="E5" s="239">
        <f>CEILING(D5,TIME(0,E$4,0))</f>
        <v>0</v>
      </c>
      <c r="F5" s="241"/>
      <c r="G5" s="239">
        <f>FLOOR(F5,TIME(0,G$4,0))</f>
        <v>0</v>
      </c>
      <c r="H5" s="92">
        <f>G5-E5</f>
        <v>0</v>
      </c>
      <c r="I5" s="93">
        <f>DD5</f>
        <v>0</v>
      </c>
      <c r="J5" s="184">
        <f>IF(AND($F$2&gt;=E5,Q5="定例会出席"),TIME(8,0,0),FLOOR((H5-I5),"0:15"))</f>
        <v>0</v>
      </c>
      <c r="K5" s="194">
        <f>IF($N$2="常用雇用",IF($E$2&gt;J5,TIME(8,0,0)-J5,0),IF($N$2="パート",IF($E$2&gt;J5,$E$2-J5,0),0))</f>
        <v>0</v>
      </c>
      <c r="L5" s="357">
        <f>IF(OR($J$2="営業部",$M$2="取締役",$M$2="部長",$M$2="次長",$M$2="部長代理",$M$2="課長",$M$2="ＭＧ",A5="",B5="土",B5="日",C5="祝",C5="休",P5=1,R5=1,S5=1,T5=1,U5=1,X5=1,AA5=1,AB5=1,AC5=1,AD5=1),0,IF($F$2&lt;E5,IF(Q5="シフト勤務",IF(K5&gt;0,K5,0),IF(K5&gt;E5-$F$2,K5,E5-$F$2)),IF(K5=0,0,K5)))</f>
        <v>0</v>
      </c>
      <c r="M5" s="184">
        <f>IF(OR($J$2="営業部",$M$2="取締役",$M$2="部長",$M$2="次長",$M$2="部長代理",$M$2="課長",$M$2="ＭＧ"),0,IF(J5&lt;=TIMEVALUE("8:00"),0,J5-TIMEVALUE("8:00")))</f>
        <v>0</v>
      </c>
      <c r="N5" s="93">
        <f t="shared" ref="N5:N35" si="1">IF(OR($J$2="営業部",$M$2="取締役",$M$2="部長",$M$2="次長",$M$2="部長代理",$M$2="課長",$M$2="ＭＧ"),0,IF(G5&lt;=TIME(22,0,0),0,IF(G5&gt;=1+TIME(5,0,0),1+TIME(5,0,0)-TIME(22,0,0)-DE5,G5-TIME(22,0,0)-DE5)))</f>
        <v>0</v>
      </c>
      <c r="O5" s="94">
        <f>IF(M5-N5&lt;0,0,M5-N5)</f>
        <v>0</v>
      </c>
      <c r="P5" s="225"/>
      <c r="Q5" s="346"/>
      <c r="R5" s="298">
        <f>IF(Q5="有給休暇",1,0)</f>
        <v>0</v>
      </c>
      <c r="S5" s="138">
        <f>IF(OR(Q5="午前半休",Q5="午後半休"),1,0)</f>
        <v>0</v>
      </c>
      <c r="T5" s="298">
        <f>IF(Q5="休日出勤",1,0)</f>
        <v>0</v>
      </c>
      <c r="U5" s="298">
        <f>IF(Q5="振替休日",1,0)</f>
        <v>0</v>
      </c>
      <c r="V5" s="298">
        <f>IF(Q5="遅刻",1,0)</f>
        <v>0</v>
      </c>
      <c r="W5" s="138">
        <f>IF(Q5="早退",1,0)</f>
        <v>0</v>
      </c>
      <c r="X5" s="138">
        <f>IF(Q5="欠勤",1,0)</f>
        <v>0</v>
      </c>
      <c r="Y5" s="138">
        <f>IF(Q5="シフト勤務",1,0)</f>
        <v>0</v>
      </c>
      <c r="Z5" s="138">
        <f>IF(Q5="定例会出席",1,0)</f>
        <v>0</v>
      </c>
      <c r="AA5" s="138">
        <f>IF(Q5="夏季休暇",1,0)</f>
        <v>0</v>
      </c>
      <c r="AB5" s="138">
        <f>IF(Q5="冬季休暇",1,0)</f>
        <v>0</v>
      </c>
      <c r="AC5" s="138">
        <f>IF(Q5="特別休暇",1,0)</f>
        <v>0</v>
      </c>
      <c r="AD5" s="138">
        <f>IF(Q5="自宅待機",1,0)</f>
        <v>0</v>
      </c>
      <c r="AE5" s="342"/>
      <c r="AF5" s="544" t="s">
        <v>575</v>
      </c>
      <c r="AG5" s="191">
        <v>0.54166666666666663</v>
      </c>
      <c r="AH5" s="192">
        <v>0.57291666666666663</v>
      </c>
      <c r="AI5" s="95" t="b">
        <f>NOT(AG5&lt;TIMEVALUE("22:00"))</f>
        <v>0</v>
      </c>
      <c r="AJ5" s="96" t="b">
        <f>NOT(AH5&lt;TIMEVALUE("22:00"))</f>
        <v>0</v>
      </c>
      <c r="AK5" s="97">
        <f>AH5-AG5</f>
        <v>3.125E-2</v>
      </c>
      <c r="AL5" s="98">
        <f>IF(AND(AI5=FALSE,AJ5=FALSE),AH5-AG5,IF(AND(AI5=FALSE,AJ5=TRUE),TIMEVALUE("22:00")-AG5,0))</f>
        <v>3.125E-2</v>
      </c>
      <c r="AM5" s="682">
        <f>AK5-AL5</f>
        <v>0</v>
      </c>
      <c r="AN5" s="99">
        <f>IF($E5&lt;=AG5,1,0)</f>
        <v>1</v>
      </c>
      <c r="AO5" s="100">
        <f>IF($G5&gt;AG5,1,0)</f>
        <v>0</v>
      </c>
      <c r="AP5" s="101" t="b">
        <f>AND(AN5=1,AO5=1)</f>
        <v>0</v>
      </c>
      <c r="AQ5" s="99">
        <f>IF($E5&lt;AH5,1,0)</f>
        <v>1</v>
      </c>
      <c r="AR5" s="100">
        <f>IF($G5&gt;=AH5,1,0)</f>
        <v>0</v>
      </c>
      <c r="AS5" s="101" t="b">
        <f>AND(AQ5=1,AR5=1)</f>
        <v>0</v>
      </c>
      <c r="AT5" s="102">
        <f>IF(AND(AP5=FALSE,AS5=FALSE),0,IF(AND(AP5=TRUE,AS5=TRUE),AH5-AG5,IF(AND(AP5=FALSE,AS5=TRUE),AH5-$E5,$G5-AG5)))</f>
        <v>0</v>
      </c>
      <c r="AU5" s="682">
        <f>IF(AT5-AL5&lt;0,0,AT5-AL5)</f>
        <v>0</v>
      </c>
      <c r="AV5" s="191">
        <v>0.875</v>
      </c>
      <c r="AW5" s="192">
        <v>0.89583333333333337</v>
      </c>
      <c r="AX5" s="95" t="b">
        <f>NOT(AV5&lt;TIMEVALUE("22:00"))</f>
        <v>0</v>
      </c>
      <c r="AY5" s="96" t="b">
        <f>NOT(AW5&lt;TIMEVALUE("22:00"))</f>
        <v>0</v>
      </c>
      <c r="AZ5" s="97">
        <f>AW5-AV5</f>
        <v>2.083333333333337E-2</v>
      </c>
      <c r="BA5" s="98">
        <f>IF(AND(AX5=FALSE,AY5=FALSE),AW5-AV5,IF(AND(AX5=FALSE,AY5=TRUE),TIMEVALUE("22:00")-AV5,0))</f>
        <v>2.083333333333337E-2</v>
      </c>
      <c r="BB5" s="682">
        <f>AZ5-BA5</f>
        <v>0</v>
      </c>
      <c r="BC5" s="99">
        <f>IF($E5&lt;=AV5,1,0)</f>
        <v>1</v>
      </c>
      <c r="BD5" s="100">
        <f>IF($G5&gt;AV5,1,0)</f>
        <v>0</v>
      </c>
      <c r="BE5" s="101" t="b">
        <f>AND(BC5=1,BD5=1)</f>
        <v>0</v>
      </c>
      <c r="BF5" s="99">
        <f>IF($E5&lt;AW5,1,0)</f>
        <v>1</v>
      </c>
      <c r="BG5" s="100">
        <f>IF($G5&gt;=AW5,1,0)</f>
        <v>0</v>
      </c>
      <c r="BH5" s="101" t="b">
        <f>AND(BF5=1,BG5=1)</f>
        <v>0</v>
      </c>
      <c r="BI5" s="102">
        <f>IF(AND(BE5=FALSE,BH5=FALSE),0,IF(AND(BE5=TRUE,BH5=TRUE),AW5-AV5,IF(AND(BE5=FALSE,BH5=TRUE),AW5-$E5,$G5-AV5)))</f>
        <v>0</v>
      </c>
      <c r="BJ5" s="682">
        <f>IF(BI5-BA5&lt;0,0,BI5-BA5)</f>
        <v>0</v>
      </c>
      <c r="BK5" s="191"/>
      <c r="BL5" s="192"/>
      <c r="BM5" s="95" t="b">
        <f>NOT(BK5&lt;TIMEVALUE("22:00"))</f>
        <v>0</v>
      </c>
      <c r="BN5" s="96" t="b">
        <f>NOT(BL5&lt;TIMEVALUE("22:00"))</f>
        <v>0</v>
      </c>
      <c r="BO5" s="97">
        <f>BL5-BK5</f>
        <v>0</v>
      </c>
      <c r="BP5" s="98">
        <f>IF(AND(BM5=FALSE,BN5=FALSE),BL5-BK5,IF(AND(BM5=FALSE,BN5=TRUE),TIMEVALUE("22:00")-BK5,0))</f>
        <v>0</v>
      </c>
      <c r="BQ5" s="682">
        <f>BO5-BP5</f>
        <v>0</v>
      </c>
      <c r="BR5" s="99">
        <f>IF($E5&lt;=BK5,1,0)</f>
        <v>1</v>
      </c>
      <c r="BS5" s="100">
        <f>IF($G5&gt;BK5,1,0)</f>
        <v>0</v>
      </c>
      <c r="BT5" s="101" t="b">
        <f>AND(BR5=1,BS5=1)</f>
        <v>0</v>
      </c>
      <c r="BU5" s="99">
        <f>IF($E5&lt;BL5,1,0)</f>
        <v>0</v>
      </c>
      <c r="BV5" s="100">
        <f>IF($G5&gt;=BL5,1,0)</f>
        <v>1</v>
      </c>
      <c r="BW5" s="101" t="b">
        <f>AND(BU5=1,BV5=1)</f>
        <v>0</v>
      </c>
      <c r="BX5" s="102">
        <f>IF(AND(BT5=FALSE,BW5=FALSE),0,IF(AND(BT5=TRUE,BW5=TRUE),BL5-BK5,IF(AND(BT5=FALSE,BW5=TRUE),BL5-$E5,$G5-BK5)))</f>
        <v>0</v>
      </c>
      <c r="BY5" s="682">
        <f>IF(BX5-BP5&lt;0,0,BX5-BP5)</f>
        <v>0</v>
      </c>
      <c r="BZ5" s="218"/>
      <c r="CA5" s="219"/>
      <c r="CB5" s="95" t="b">
        <f>NOT(BZ5&lt;TIMEVALUE("22:00"))</f>
        <v>0</v>
      </c>
      <c r="CC5" s="96" t="b">
        <f>NOT(CA5&lt;TIMEVALUE("22:00"))</f>
        <v>0</v>
      </c>
      <c r="CD5" s="97">
        <f>CA5-BZ5</f>
        <v>0</v>
      </c>
      <c r="CE5" s="98">
        <f>IF(AND(CB5=FALSE,CC5=FALSE),CA5-BZ5,IF(AND(CB5=FALSE,CC5=TRUE),TIMEVALUE("22:00")-BZ5,0))</f>
        <v>0</v>
      </c>
      <c r="CF5" s="682">
        <f>CD5-CE5</f>
        <v>0</v>
      </c>
      <c r="CG5" s="99">
        <f>IF($E5&lt;=BZ5,1,0)</f>
        <v>1</v>
      </c>
      <c r="CH5" s="100">
        <f>IF($G5&gt;BZ5,1,0)</f>
        <v>0</v>
      </c>
      <c r="CI5" s="101" t="b">
        <f>AND(CG5=1,CH5=1)</f>
        <v>0</v>
      </c>
      <c r="CJ5" s="99">
        <f>IF($E5&lt;CA5,1,0)</f>
        <v>0</v>
      </c>
      <c r="CK5" s="100">
        <f>IF($G5&gt;=CA5,1,0)</f>
        <v>1</v>
      </c>
      <c r="CL5" s="101" t="b">
        <f>AND(CJ5=1,CK5=1)</f>
        <v>0</v>
      </c>
      <c r="CM5" s="102">
        <f>IF(AND(CI5=FALSE,CL5=FALSE),0,IF(AND(CI5=TRUE,CL5=TRUE),CA5-BZ5,IF(AND(CI5=FALSE,CL5=TRUE),CA5-$E5,$G5-BZ5)))</f>
        <v>0</v>
      </c>
      <c r="CN5" s="682">
        <f>IF(CM5-CE5&lt;0,0,CM5-CE5)</f>
        <v>0</v>
      </c>
      <c r="CO5" s="191"/>
      <c r="CP5" s="192"/>
      <c r="CQ5" s="103" t="b">
        <f>NOT(CO5&lt;TIMEVALUE("22:00"))</f>
        <v>0</v>
      </c>
      <c r="CR5" s="96" t="b">
        <f>NOT(CP5&lt;TIMEVALUE("22:00"))</f>
        <v>0</v>
      </c>
      <c r="CS5" s="97">
        <f>CP5-CO5</f>
        <v>0</v>
      </c>
      <c r="CT5" s="98">
        <f>IF(AND(CQ5=FALSE,CR5=FALSE),CP5-CO5,IF(AND(CQ5=FALSE,CR5=TRUE),TIMEVALUE("22:00")-CO5,0))</f>
        <v>0</v>
      </c>
      <c r="CU5" s="682">
        <f>CS5-CT5</f>
        <v>0</v>
      </c>
      <c r="CV5" s="99">
        <f>IF($E5&lt;=CO5,1,0)</f>
        <v>1</v>
      </c>
      <c r="CW5" s="100">
        <f>IF($G5&gt;CO5,1,0)</f>
        <v>0</v>
      </c>
      <c r="CX5" s="101" t="b">
        <f>AND(CV5=1,CW5=1)</f>
        <v>0</v>
      </c>
      <c r="CY5" s="99">
        <f>IF($E5&lt;CP5,1,0)</f>
        <v>0</v>
      </c>
      <c r="CZ5" s="100">
        <f>IF($G5&gt;=CP5,1,0)</f>
        <v>1</v>
      </c>
      <c r="DA5" s="101" t="b">
        <f>AND(CY5=1,CZ5=1)</f>
        <v>0</v>
      </c>
      <c r="DB5" s="102">
        <f>IF(AND(CX5=FALSE,DA5=FALSE),0,IF(AND(CX5=TRUE,DA5=TRUE),CP5-CO5,IF(AND(CX5=FALSE,DA5=TRUE),CP5-$E5,$G5-CO5)))</f>
        <v>0</v>
      </c>
      <c r="DC5" s="683">
        <f>IF(DB5-CT5&lt;0,0,DB5-CT5)</f>
        <v>0</v>
      </c>
      <c r="DD5" s="123">
        <f>SUM(AT5,BI5,BX5,CM5,DB5)</f>
        <v>0</v>
      </c>
      <c r="DE5" s="104">
        <f>SUM(AU5,BJ5,BY5,CN5,DC5)</f>
        <v>0</v>
      </c>
      <c r="DG5" s="76">
        <v>2008</v>
      </c>
      <c r="DH5" s="76">
        <v>4</v>
      </c>
      <c r="DI5" s="340" t="s">
        <v>576</v>
      </c>
      <c r="DJ5" s="347" t="s">
        <v>544</v>
      </c>
      <c r="DK5" s="341"/>
      <c r="DL5" s="571" t="s">
        <v>432</v>
      </c>
      <c r="DM5" s="120">
        <f t="shared" si="0"/>
        <v>44320</v>
      </c>
      <c r="DN5" s="162" t="s">
        <v>489</v>
      </c>
      <c r="DO5" s="51">
        <f>祝日表!B7</f>
        <v>5</v>
      </c>
      <c r="DP5" s="572" t="s">
        <v>425</v>
      </c>
      <c r="DQ5" s="51">
        <f>祝日表!D7</f>
        <v>4</v>
      </c>
      <c r="DR5" s="573" t="s">
        <v>426</v>
      </c>
      <c r="DS5" s="145"/>
      <c r="DT5" s="58">
        <v>8</v>
      </c>
      <c r="DU5" s="120">
        <f>DATE($A$1,DT$3,DT5)</f>
        <v>44204</v>
      </c>
      <c r="DV5" s="51">
        <f>WEEKDAY(DU5,1)</f>
        <v>6</v>
      </c>
      <c r="DW5" s="144"/>
      <c r="DX5" s="144"/>
      <c r="DY5" s="139">
        <f t="shared" ref="DY5:DY35" si="2">IF(A5="",0,IF(OR(WEEKDAY(A5,1)=1,WEEKDAY(A5,1)=7),1,0))</f>
        <v>0</v>
      </c>
      <c r="DZ5" s="119">
        <f>IF(OR(C5="祝",C5="休"),1,0)</f>
        <v>0</v>
      </c>
      <c r="EA5" s="51">
        <f>IF(AND(DY5=1,DZ5=1),1,DY5+DZ5)</f>
        <v>0</v>
      </c>
      <c r="EB5" s="144"/>
      <c r="EC5" s="51">
        <f>IF(L5&gt;0.000001,1,0)</f>
        <v>0</v>
      </c>
      <c r="ED5" s="144"/>
      <c r="EE5" s="622"/>
      <c r="EF5" s="558" t="s">
        <v>577</v>
      </c>
      <c r="EG5" s="545"/>
      <c r="EH5" s="545"/>
      <c r="EI5" s="229"/>
      <c r="EJ5" s="229"/>
    </row>
    <row r="6" spans="1:140" ht="15" customHeight="1">
      <c r="A6" s="428">
        <f>A5+1</f>
        <v>44399</v>
      </c>
      <c r="B6" s="132" t="str">
        <f>CHOOSE(WEEKDAY(A6,1),"日","月","火","水","木","金","土")</f>
        <v>木</v>
      </c>
      <c r="C6" s="129" t="str">
        <f t="shared" ref="C6:C35" si="3">IF(A6="","",IF(OR(A6=$DM$1,A6=$DM$2,A6=$DM$3,A6=$DM$4,A6=$DM$5,A6=$DM$6,A6=$DM$7,A6=$DM$8,A6=$DM$9,A6=$DM$10,A6=$DM$12,A6=$DM$13,A6=$DM$14,A6=$DM$15,A6=$DM$18,A6=$DM$19,A6=$DM$20,A6=$DM$21,A6=$DM$22,A6=$DM$23,A6=$DM$25,A6=$DM$26,A6=$DM$27,A6=$DM$28,A6=$DM$29,A6=$DM$30,A6=$DM$32,A6=$DM$33,A6=$DM$34,A6=$DM$35,A6=$DM$36),"祝",IF(OR(A6=$DM$38,A6=$DM$39,A6=$DM$40,A6=$DM$41,A6=$DM$42,A6=$DM$43,A6=$DM$44),"休","")))</f>
        <v>祝</v>
      </c>
      <c r="D6" s="240"/>
      <c r="E6" s="239">
        <f t="shared" ref="E6:E35" si="4">CEILING(D6,TIME(0,E$4,0))</f>
        <v>0</v>
      </c>
      <c r="F6" s="241"/>
      <c r="G6" s="239">
        <f t="shared" ref="G6:G35" si="5">FLOOR(F6,TIME(0,G$4,0))</f>
        <v>0</v>
      </c>
      <c r="H6" s="92">
        <f>G6-E6</f>
        <v>0</v>
      </c>
      <c r="I6" s="93">
        <f>DD6</f>
        <v>0</v>
      </c>
      <c r="J6" s="184">
        <f t="shared" ref="J6:J35" si="6">IF(AND($F$2&gt;=E6,Q6="定例会出席"),TIME(8,0,0),FLOOR((H6-I6),"0:15"))</f>
        <v>0</v>
      </c>
      <c r="K6" s="194">
        <f t="shared" ref="K6:K35" si="7">IF($N$2="常用雇用",IF($E$2&gt;J6,TIME(8,0,0)-J6,0),IF($N$2="パート",IF($E$2&gt;J6,$E$2-J6,0),0))</f>
        <v>0</v>
      </c>
      <c r="L6" s="357">
        <f t="shared" ref="L6:L35" si="8">IF(OR($J$2="営業部",$M$2="取締役",$M$2="部長",$M$2="次長",$M$2="部長代理",$M$2="課長",$M$2="ＭＧ",A6="",B6="土",B6="日",C6="祝",C6="休",P6=1,R6=1,S6=1,T6=1,U6=1,X6=1,AA6=1,AB6=1,AC6=1,AD6=1),0,IF($F$2&lt;E6,IF(Q6="シフト勤務",IF(K6&gt;0,K6,0),IF(K6&gt;E6-$F$2,K6,E6-$F$2)),IF(K6=0,0,K6)))</f>
        <v>0</v>
      </c>
      <c r="M6" s="184">
        <f t="shared" ref="M6:M35" si="9">IF(OR($J$2="営業部",$M$2="取締役",$M$2="部長",$M$2="次長",$M$2="部長代理",$M$2="課長",$M$2="ＭＧ"),0,IF(J6&lt;=TIMEVALUE("8:00"),0,J6-TIMEVALUE("8:00")))</f>
        <v>0</v>
      </c>
      <c r="N6" s="93">
        <f t="shared" si="1"/>
        <v>0</v>
      </c>
      <c r="O6" s="94">
        <f t="shared" ref="O6:O22" si="10">IF(M6-N6&lt;0,0,M6-N6)</f>
        <v>0</v>
      </c>
      <c r="P6" s="225"/>
      <c r="Q6" s="346"/>
      <c r="R6" s="298">
        <f t="shared" ref="R6:R35" si="11">IF(Q6="有給休暇",1,0)</f>
        <v>0</v>
      </c>
      <c r="S6" s="138">
        <f t="shared" ref="S6:S35" si="12">IF(OR(Q6="午前半休",Q6="午後半休"),1,0)</f>
        <v>0</v>
      </c>
      <c r="T6" s="298">
        <f t="shared" ref="T6:T35" si="13">IF(Q6="休日出勤",1,0)</f>
        <v>0</v>
      </c>
      <c r="U6" s="298">
        <f t="shared" ref="U6:U35" si="14">IF(Q6="振替休日",1,0)</f>
        <v>0</v>
      </c>
      <c r="V6" s="298">
        <f t="shared" ref="V6:V35" si="15">IF(Q6="遅刻",1,0)</f>
        <v>0</v>
      </c>
      <c r="W6" s="138">
        <f t="shared" ref="W6:W35" si="16">IF(Q6="早退",1,0)</f>
        <v>0</v>
      </c>
      <c r="X6" s="138">
        <f t="shared" ref="X6:X35" si="17">IF(Q6="欠勤",1,0)</f>
        <v>0</v>
      </c>
      <c r="Y6" s="138">
        <f t="shared" ref="Y6:Y35" si="18">IF(Q6="シフト勤務",1,0)</f>
        <v>0</v>
      </c>
      <c r="Z6" s="138">
        <f t="shared" ref="Z6:Z35" si="19">IF(Q6="定例会出席",1,0)</f>
        <v>0</v>
      </c>
      <c r="AA6" s="138">
        <f t="shared" ref="AA6:AA35" si="20">IF(Q6="夏季休暇",1,0)</f>
        <v>0</v>
      </c>
      <c r="AB6" s="138">
        <f t="shared" ref="AB6:AB35" si="21">IF(Q6="冬季休暇",1,0)</f>
        <v>0</v>
      </c>
      <c r="AC6" s="138">
        <f t="shared" ref="AC6:AC35" si="22">IF(Q6="特別休暇",1,0)</f>
        <v>0</v>
      </c>
      <c r="AD6" s="138">
        <f t="shared" ref="AD6:AD35" si="23">IF(Q6="自宅待機",1,0)</f>
        <v>0</v>
      </c>
      <c r="AE6" s="342"/>
      <c r="AF6" s="544"/>
      <c r="AG6" s="124">
        <f>AG5</f>
        <v>0.54166666666666663</v>
      </c>
      <c r="AH6" s="125">
        <f>AH5</f>
        <v>0.57291666666666663</v>
      </c>
      <c r="AI6" s="95" t="b">
        <f>NOT(AG6&lt;TIMEVALUE("22:00"))</f>
        <v>0</v>
      </c>
      <c r="AJ6" s="96" t="b">
        <f>NOT(AH6&lt;TIMEVALUE("22:00"))</f>
        <v>0</v>
      </c>
      <c r="AK6" s="97">
        <f>AH6-AG6</f>
        <v>3.125E-2</v>
      </c>
      <c r="AL6" s="98">
        <f>IF(AND(AI6=FALSE,AJ6=FALSE),AH6-AG6,IF(AND(AI6=FALSE,AJ6=TRUE),TIMEVALUE("22:00")-AG6,0))</f>
        <v>3.125E-2</v>
      </c>
      <c r="AM6" s="682">
        <f>AK6-AL6</f>
        <v>0</v>
      </c>
      <c r="AN6" s="99">
        <f>IF($E6&lt;=AG6,1,0)</f>
        <v>1</v>
      </c>
      <c r="AO6" s="100">
        <f>IF($G6&gt;AG6,1,0)</f>
        <v>0</v>
      </c>
      <c r="AP6" s="101" t="b">
        <f>AND(AN6=1,AO6=1)</f>
        <v>0</v>
      </c>
      <c r="AQ6" s="99">
        <f>IF($E6&lt;AH6,1,0)</f>
        <v>1</v>
      </c>
      <c r="AR6" s="100">
        <f>IF($G6&gt;=AH6,1,0)</f>
        <v>0</v>
      </c>
      <c r="AS6" s="101" t="b">
        <f>AND(AQ6=1,AR6=1)</f>
        <v>0</v>
      </c>
      <c r="AT6" s="102">
        <f>IF(AND(AP6=FALSE,AS6=FALSE),0,IF(AND(AP6=TRUE,AS6=TRUE),AH6-AG6,IF(AND(AP6=FALSE,AS6=TRUE),AH6-$E6,$G6-AG6)))</f>
        <v>0</v>
      </c>
      <c r="AU6" s="682">
        <f>IF(AT6-AL6&lt;0,0,AT6-AL6)</f>
        <v>0</v>
      </c>
      <c r="AV6" s="124">
        <f>AV5</f>
        <v>0.875</v>
      </c>
      <c r="AW6" s="125">
        <f>AW5</f>
        <v>0.89583333333333337</v>
      </c>
      <c r="AX6" s="95" t="b">
        <f>NOT(AV6&lt;TIMEVALUE("22:00"))</f>
        <v>0</v>
      </c>
      <c r="AY6" s="96" t="b">
        <f>NOT(AW6&lt;TIMEVALUE("22:00"))</f>
        <v>0</v>
      </c>
      <c r="AZ6" s="97">
        <f>AW6-AV6</f>
        <v>2.083333333333337E-2</v>
      </c>
      <c r="BA6" s="98">
        <f>IF(AND(AX6=FALSE,AY6=FALSE),AW6-AV6,IF(AND(AX6=FALSE,AY6=TRUE),TIMEVALUE("22:00")-AV6,0))</f>
        <v>2.083333333333337E-2</v>
      </c>
      <c r="BB6" s="682">
        <f>AZ6-BA6</f>
        <v>0</v>
      </c>
      <c r="BC6" s="99">
        <f>IF($E6&lt;=AV6,1,0)</f>
        <v>1</v>
      </c>
      <c r="BD6" s="100">
        <f>IF($G6&gt;AV6,1,0)</f>
        <v>0</v>
      </c>
      <c r="BE6" s="101" t="b">
        <f>AND(BC6=1,BD6=1)</f>
        <v>0</v>
      </c>
      <c r="BF6" s="99">
        <f>IF($E6&lt;AW6,1,0)</f>
        <v>1</v>
      </c>
      <c r="BG6" s="100">
        <f>IF($G6&gt;=AW6,1,0)</f>
        <v>0</v>
      </c>
      <c r="BH6" s="101" t="b">
        <f>AND(BF6=1,BG6=1)</f>
        <v>0</v>
      </c>
      <c r="BI6" s="102">
        <f>IF(AND(BE6=FALSE,BH6=FALSE),0,IF(AND(BE6=TRUE,BH6=TRUE),AW6-AV6,IF(AND(BE6=FALSE,BH6=TRUE),AW6-$E6,$G6-AV6)))</f>
        <v>0</v>
      </c>
      <c r="BJ6" s="682">
        <f>IF(BI6-BA6&lt;0,0,BI6-BA6)</f>
        <v>0</v>
      </c>
      <c r="BK6" s="124">
        <f>BK5</f>
        <v>0</v>
      </c>
      <c r="BL6" s="125">
        <f>BL5</f>
        <v>0</v>
      </c>
      <c r="BM6" s="95" t="b">
        <f>NOT(BK6&lt;TIMEVALUE("22:00"))</f>
        <v>0</v>
      </c>
      <c r="BN6" s="96" t="b">
        <f>NOT(BL6&lt;TIMEVALUE("22:00"))</f>
        <v>0</v>
      </c>
      <c r="BO6" s="97">
        <f>BL6-BK6</f>
        <v>0</v>
      </c>
      <c r="BP6" s="98">
        <f>IF(AND(BM6=FALSE,BN6=FALSE),BL6-BK6,IF(AND(BM6=FALSE,BN6=TRUE),TIMEVALUE("22:00")-BK6,0))</f>
        <v>0</v>
      </c>
      <c r="BQ6" s="682">
        <f>BO6-BP6</f>
        <v>0</v>
      </c>
      <c r="BR6" s="99">
        <f>IF($E6&lt;=BK6,1,0)</f>
        <v>1</v>
      </c>
      <c r="BS6" s="100">
        <f>IF($G6&gt;BK6,1,0)</f>
        <v>0</v>
      </c>
      <c r="BT6" s="101" t="b">
        <f>AND(BR6=1,BS6=1)</f>
        <v>0</v>
      </c>
      <c r="BU6" s="99">
        <f>IF($E6&lt;BL6,1,0)</f>
        <v>0</v>
      </c>
      <c r="BV6" s="100">
        <f>IF($G6&gt;=BL6,1,0)</f>
        <v>1</v>
      </c>
      <c r="BW6" s="101" t="b">
        <f>AND(BU6=1,BV6=1)</f>
        <v>0</v>
      </c>
      <c r="BX6" s="102">
        <f>IF(AND(BT6=FALSE,BW6=FALSE),0,IF(AND(BT6=TRUE,BW6=TRUE),BL6-BK6,IF(AND(BT6=FALSE,BW6=TRUE),BL6-$E6,$G6-BK6)))</f>
        <v>0</v>
      </c>
      <c r="BY6" s="682">
        <f>IF(BX6-BP6&lt;0,0,BX6-BP6)</f>
        <v>0</v>
      </c>
      <c r="BZ6" s="124">
        <f>BZ5</f>
        <v>0</v>
      </c>
      <c r="CA6" s="125">
        <f>CA5</f>
        <v>0</v>
      </c>
      <c r="CB6" s="95" t="b">
        <f>NOT(BZ6&lt;TIMEVALUE("22:00"))</f>
        <v>0</v>
      </c>
      <c r="CC6" s="96" t="b">
        <f>NOT(CA6&lt;TIMEVALUE("22:00"))</f>
        <v>0</v>
      </c>
      <c r="CD6" s="97">
        <f>CA6-BZ6</f>
        <v>0</v>
      </c>
      <c r="CE6" s="98">
        <f>IF(AND(CB6=FALSE,CC6=FALSE),CA6-BZ6,IF(AND(CB6=FALSE,CC6=TRUE),TIMEVALUE("22:00")-BZ6,0))</f>
        <v>0</v>
      </c>
      <c r="CF6" s="682">
        <f>CD6-CE6</f>
        <v>0</v>
      </c>
      <c r="CG6" s="99">
        <f>IF($E6&lt;=BZ6,1,0)</f>
        <v>1</v>
      </c>
      <c r="CH6" s="100">
        <f>IF($G6&gt;BZ6,1,0)</f>
        <v>0</v>
      </c>
      <c r="CI6" s="101" t="b">
        <f>AND(CG6=1,CH6=1)</f>
        <v>0</v>
      </c>
      <c r="CJ6" s="99">
        <f>IF($E6&lt;CA6,1,0)</f>
        <v>0</v>
      </c>
      <c r="CK6" s="100">
        <f>IF($G6&gt;=CA6,1,0)</f>
        <v>1</v>
      </c>
      <c r="CL6" s="101" t="b">
        <f>AND(CJ6=1,CK6=1)</f>
        <v>0</v>
      </c>
      <c r="CM6" s="102">
        <f>IF(AND(CI6=FALSE,CL6=FALSE),0,IF(AND(CI6=TRUE,CL6=TRUE),CA6-BZ6,IF(AND(CI6=FALSE,CL6=TRUE),CA6-$E6,$G6-BZ6)))</f>
        <v>0</v>
      </c>
      <c r="CN6" s="682">
        <f>IF(CM6-CE6&lt;0,0,CM6-CE6)</f>
        <v>0</v>
      </c>
      <c r="CO6" s="124">
        <f>CO5</f>
        <v>0</v>
      </c>
      <c r="CP6" s="125">
        <f>CP5</f>
        <v>0</v>
      </c>
      <c r="CQ6" s="103" t="b">
        <f>NOT(CO6&lt;TIMEVALUE("22:00"))</f>
        <v>0</v>
      </c>
      <c r="CR6" s="96" t="b">
        <f>NOT(CP6&lt;TIMEVALUE("22:00"))</f>
        <v>0</v>
      </c>
      <c r="CS6" s="97">
        <f>CP6-CO6</f>
        <v>0</v>
      </c>
      <c r="CT6" s="98">
        <f>IF(AND(CQ6=FALSE,CR6=FALSE),CP6-CO6,IF(AND(CQ6=FALSE,CR6=TRUE),TIMEVALUE("22:00")-CO6,0))</f>
        <v>0</v>
      </c>
      <c r="CU6" s="682">
        <f>CS6-CT6</f>
        <v>0</v>
      </c>
      <c r="CV6" s="99">
        <f>IF($E6&lt;=CO6,1,0)</f>
        <v>1</v>
      </c>
      <c r="CW6" s="100">
        <f>IF($G6&gt;CO6,1,0)</f>
        <v>0</v>
      </c>
      <c r="CX6" s="101" t="b">
        <f>AND(CV6=1,CW6=1)</f>
        <v>0</v>
      </c>
      <c r="CY6" s="99">
        <f>IF($E6&lt;CP6,1,0)</f>
        <v>0</v>
      </c>
      <c r="CZ6" s="100">
        <f>IF($G6&gt;=CP6,1,0)</f>
        <v>1</v>
      </c>
      <c r="DA6" s="101" t="b">
        <f>AND(CY6=1,CZ6=1)</f>
        <v>0</v>
      </c>
      <c r="DB6" s="102">
        <f>IF(AND(CX6=FALSE,DA6=FALSE),0,IF(AND(CX6=TRUE,DA6=TRUE),CP6-CO6,IF(AND(CX6=FALSE,DA6=TRUE),CP6-$E6,$G6-CO6)))</f>
        <v>0</v>
      </c>
      <c r="DC6" s="683">
        <f>IF(DB6-CT6&lt;0,0,DB6-CT6)</f>
        <v>0</v>
      </c>
      <c r="DD6" s="123">
        <f>SUM(AT6,BI6,BX6,CM6,DB6)</f>
        <v>0</v>
      </c>
      <c r="DE6" s="104">
        <f>SUM(AU6,BJ6,BY6,CN6,DC6)</f>
        <v>0</v>
      </c>
      <c r="DG6" s="58">
        <v>2009</v>
      </c>
      <c r="DH6" s="58">
        <v>5</v>
      </c>
      <c r="DI6" s="339" t="s">
        <v>578</v>
      </c>
      <c r="DJ6" s="349" t="s">
        <v>545</v>
      </c>
      <c r="DK6" s="341"/>
      <c r="DL6" s="571" t="s">
        <v>433</v>
      </c>
      <c r="DM6" s="120">
        <f t="shared" si="0"/>
        <v>44321</v>
      </c>
      <c r="DN6" s="162" t="s">
        <v>489</v>
      </c>
      <c r="DO6" s="51">
        <f>祝日表!B8</f>
        <v>5</v>
      </c>
      <c r="DP6" s="572" t="s">
        <v>425</v>
      </c>
      <c r="DQ6" s="51">
        <f>祝日表!D8</f>
        <v>5</v>
      </c>
      <c r="DR6" s="573" t="s">
        <v>426</v>
      </c>
      <c r="DS6" s="145"/>
      <c r="DT6" s="58">
        <v>9</v>
      </c>
      <c r="DU6" s="120">
        <f t="shared" ref="DU6:DU11" si="24">DATE($A$1,DT$3,DT6)</f>
        <v>44205</v>
      </c>
      <c r="DV6" s="51">
        <f t="shared" ref="DV6:DV11" si="25">WEEKDAY(DU6,1)</f>
        <v>7</v>
      </c>
      <c r="DW6" s="144"/>
      <c r="DX6" s="152"/>
      <c r="DY6" s="139">
        <f t="shared" si="2"/>
        <v>0</v>
      </c>
      <c r="DZ6" s="119">
        <f t="shared" ref="DZ6:DZ15" si="26">IF(OR(C6="祝",C6="休"),1,0)</f>
        <v>1</v>
      </c>
      <c r="EA6" s="51">
        <f t="shared" ref="EA6:EA35" si="27">IF(AND(DY6=1,DZ6=1),1,DY6+DZ6)</f>
        <v>1</v>
      </c>
      <c r="EB6" s="144"/>
      <c r="EC6" s="51">
        <f t="shared" ref="EC6:EC35" si="28">IF(L6&gt;0.000001,1,0)</f>
        <v>0</v>
      </c>
      <c r="ED6" s="144"/>
      <c r="EE6" s="622"/>
      <c r="EF6" s="558" t="s">
        <v>579</v>
      </c>
      <c r="EG6" s="545"/>
      <c r="EH6" s="545"/>
      <c r="EI6" s="229"/>
      <c r="EJ6" s="229"/>
    </row>
    <row r="7" spans="1:140" ht="15" customHeight="1">
      <c r="A7" s="428">
        <f t="shared" ref="A7:A32" si="29">A6+1</f>
        <v>44400</v>
      </c>
      <c r="B7" s="132" t="str">
        <f t="shared" ref="B7:B32" si="30">CHOOSE(WEEKDAY(A7,1),"日","月","火","水","木","金","土")</f>
        <v>金</v>
      </c>
      <c r="C7" s="129" t="str">
        <f t="shared" si="3"/>
        <v>祝</v>
      </c>
      <c r="D7" s="240"/>
      <c r="E7" s="239">
        <f t="shared" si="4"/>
        <v>0</v>
      </c>
      <c r="F7" s="241"/>
      <c r="G7" s="239">
        <f t="shared" si="5"/>
        <v>0</v>
      </c>
      <c r="H7" s="92">
        <f t="shared" ref="H7:H35" si="31">G7-E7</f>
        <v>0</v>
      </c>
      <c r="I7" s="93">
        <f t="shared" ref="I7:I35" si="32">DD7</f>
        <v>0</v>
      </c>
      <c r="J7" s="184">
        <f t="shared" si="6"/>
        <v>0</v>
      </c>
      <c r="K7" s="194">
        <f t="shared" si="7"/>
        <v>0</v>
      </c>
      <c r="L7" s="357">
        <f t="shared" si="8"/>
        <v>0</v>
      </c>
      <c r="M7" s="184">
        <f t="shared" si="9"/>
        <v>0</v>
      </c>
      <c r="N7" s="93">
        <f t="shared" si="1"/>
        <v>0</v>
      </c>
      <c r="O7" s="94">
        <f t="shared" si="10"/>
        <v>0</v>
      </c>
      <c r="P7" s="225"/>
      <c r="Q7" s="346"/>
      <c r="R7" s="298">
        <f t="shared" si="11"/>
        <v>0</v>
      </c>
      <c r="S7" s="138">
        <f t="shared" si="12"/>
        <v>0</v>
      </c>
      <c r="T7" s="298">
        <f t="shared" si="13"/>
        <v>0</v>
      </c>
      <c r="U7" s="298">
        <f t="shared" si="14"/>
        <v>0</v>
      </c>
      <c r="V7" s="298">
        <f t="shared" si="15"/>
        <v>0</v>
      </c>
      <c r="W7" s="138">
        <f t="shared" si="16"/>
        <v>0</v>
      </c>
      <c r="X7" s="138">
        <f t="shared" si="17"/>
        <v>0</v>
      </c>
      <c r="Y7" s="138">
        <f t="shared" si="18"/>
        <v>0</v>
      </c>
      <c r="Z7" s="138">
        <f t="shared" si="19"/>
        <v>0</v>
      </c>
      <c r="AA7" s="138">
        <f t="shared" si="20"/>
        <v>0</v>
      </c>
      <c r="AB7" s="138">
        <f t="shared" si="21"/>
        <v>0</v>
      </c>
      <c r="AC7" s="138">
        <f t="shared" si="22"/>
        <v>0</v>
      </c>
      <c r="AD7" s="138">
        <f t="shared" si="23"/>
        <v>0</v>
      </c>
      <c r="AE7" s="342"/>
      <c r="AF7" s="544"/>
      <c r="AG7" s="124">
        <f t="shared" ref="AG7:AG35" si="33">AG6</f>
        <v>0.54166666666666663</v>
      </c>
      <c r="AH7" s="125">
        <f t="shared" ref="AH7:AH35" si="34">AH6</f>
        <v>0.57291666666666663</v>
      </c>
      <c r="AI7" s="95" t="b">
        <f t="shared" ref="AI7:AI35" si="35">NOT(AG7&lt;TIMEVALUE("22:00"))</f>
        <v>0</v>
      </c>
      <c r="AJ7" s="96" t="b">
        <f t="shared" ref="AJ7:AJ35" si="36">NOT(AH7&lt;TIMEVALUE("22:00"))</f>
        <v>0</v>
      </c>
      <c r="AK7" s="97">
        <f t="shared" ref="AK7:AK35" si="37">AH7-AG7</f>
        <v>3.125E-2</v>
      </c>
      <c r="AL7" s="98">
        <f t="shared" ref="AL7:AL35" si="38">IF(AND(AI7=FALSE,AJ7=FALSE),AH7-AG7,IF(AND(AI7=FALSE,AJ7=TRUE),TIMEVALUE("22:00")-AG7,0))</f>
        <v>3.125E-2</v>
      </c>
      <c r="AM7" s="682">
        <f t="shared" ref="AM7:AM35" si="39">AK7-AL7</f>
        <v>0</v>
      </c>
      <c r="AN7" s="99">
        <f t="shared" ref="AN7:AN35" si="40">IF($E7&lt;=AG7,1,0)</f>
        <v>1</v>
      </c>
      <c r="AO7" s="100">
        <f t="shared" ref="AO7:AO35" si="41">IF($G7&gt;AG7,1,0)</f>
        <v>0</v>
      </c>
      <c r="AP7" s="101" t="b">
        <f t="shared" ref="AP7:AP35" si="42">AND(AN7=1,AO7=1)</f>
        <v>0</v>
      </c>
      <c r="AQ7" s="99">
        <f t="shared" ref="AQ7:AQ35" si="43">IF($E7&lt;AH7,1,0)</f>
        <v>1</v>
      </c>
      <c r="AR7" s="100">
        <f t="shared" ref="AR7:AR35" si="44">IF($G7&gt;=AH7,1,0)</f>
        <v>0</v>
      </c>
      <c r="AS7" s="101" t="b">
        <f t="shared" ref="AS7:AS35" si="45">AND(AQ7=1,AR7=1)</f>
        <v>0</v>
      </c>
      <c r="AT7" s="102">
        <f t="shared" ref="AT7:AT35" si="46">IF(AND(AP7=FALSE,AS7=FALSE),0,IF(AND(AP7=TRUE,AS7=TRUE),AH7-AG7,IF(AND(AP7=FALSE,AS7=TRUE),AH7-$E7,$G7-AG7)))</f>
        <v>0</v>
      </c>
      <c r="AU7" s="682">
        <f t="shared" ref="AU7:AU35" si="47">IF(AT7-AL7&lt;0,0,AT7-AL7)</f>
        <v>0</v>
      </c>
      <c r="AV7" s="124">
        <f t="shared" ref="AV7:AV35" si="48">AV6</f>
        <v>0.875</v>
      </c>
      <c r="AW7" s="125">
        <f t="shared" ref="AW7:AW35" si="49">AW6</f>
        <v>0.89583333333333337</v>
      </c>
      <c r="AX7" s="95" t="b">
        <f t="shared" ref="AX7:AX35" si="50">NOT(AV7&lt;TIMEVALUE("22:00"))</f>
        <v>0</v>
      </c>
      <c r="AY7" s="96" t="b">
        <f t="shared" ref="AY7:AY35" si="51">NOT(AW7&lt;TIMEVALUE("22:00"))</f>
        <v>0</v>
      </c>
      <c r="AZ7" s="97">
        <f t="shared" ref="AZ7:AZ35" si="52">AW7-AV7</f>
        <v>2.083333333333337E-2</v>
      </c>
      <c r="BA7" s="98">
        <f t="shared" ref="BA7:BA35" si="53">IF(AND(AX7=FALSE,AY7=FALSE),AW7-AV7,IF(AND(AX7=FALSE,AY7=TRUE),TIMEVALUE("22:00")-AV7,0))</f>
        <v>2.083333333333337E-2</v>
      </c>
      <c r="BB7" s="682">
        <f t="shared" ref="BB7:BB35" si="54">AZ7-BA7</f>
        <v>0</v>
      </c>
      <c r="BC7" s="99">
        <f t="shared" ref="BC7:BC35" si="55">IF($E7&lt;=AV7,1,0)</f>
        <v>1</v>
      </c>
      <c r="BD7" s="100">
        <f t="shared" ref="BD7:BD35" si="56">IF($G7&gt;AV7,1,0)</f>
        <v>0</v>
      </c>
      <c r="BE7" s="101" t="b">
        <f t="shared" ref="BE7:BE35" si="57">AND(BC7=1,BD7=1)</f>
        <v>0</v>
      </c>
      <c r="BF7" s="99">
        <f t="shared" ref="BF7:BF35" si="58">IF($E7&lt;AW7,1,0)</f>
        <v>1</v>
      </c>
      <c r="BG7" s="100">
        <f t="shared" ref="BG7:BG35" si="59">IF($G7&gt;=AW7,1,0)</f>
        <v>0</v>
      </c>
      <c r="BH7" s="101" t="b">
        <f t="shared" ref="BH7:BH35" si="60">AND(BF7=1,BG7=1)</f>
        <v>0</v>
      </c>
      <c r="BI7" s="102">
        <f t="shared" ref="BI7:BI35" si="61">IF(AND(BE7=FALSE,BH7=FALSE),0,IF(AND(BE7=TRUE,BH7=TRUE),AW7-AV7,IF(AND(BE7=FALSE,BH7=TRUE),AW7-$E7,$G7-AV7)))</f>
        <v>0</v>
      </c>
      <c r="BJ7" s="682">
        <f t="shared" ref="BJ7:BJ35" si="62">IF(BI7-BA7&lt;0,0,BI7-BA7)</f>
        <v>0</v>
      </c>
      <c r="BK7" s="124">
        <f t="shared" ref="BK7:BK35" si="63">BK6</f>
        <v>0</v>
      </c>
      <c r="BL7" s="125">
        <f t="shared" ref="BL7:BL35" si="64">BL6</f>
        <v>0</v>
      </c>
      <c r="BM7" s="95" t="b">
        <f t="shared" ref="BM7:BM35" si="65">NOT(BK7&lt;TIMEVALUE("22:00"))</f>
        <v>0</v>
      </c>
      <c r="BN7" s="96" t="b">
        <f t="shared" ref="BN7:BN35" si="66">NOT(BL7&lt;TIMEVALUE("22:00"))</f>
        <v>0</v>
      </c>
      <c r="BO7" s="97">
        <f t="shared" ref="BO7:BO35" si="67">BL7-BK7</f>
        <v>0</v>
      </c>
      <c r="BP7" s="98">
        <f t="shared" ref="BP7:BP35" si="68">IF(AND(BM7=FALSE,BN7=FALSE),BL7-BK7,IF(AND(BM7=FALSE,BN7=TRUE),TIMEVALUE("22:00")-BK7,0))</f>
        <v>0</v>
      </c>
      <c r="BQ7" s="682">
        <f t="shared" ref="BQ7:BQ35" si="69">BO7-BP7</f>
        <v>0</v>
      </c>
      <c r="BR7" s="99">
        <f t="shared" ref="BR7:BR35" si="70">IF($E7&lt;=BK7,1,0)</f>
        <v>1</v>
      </c>
      <c r="BS7" s="100">
        <f t="shared" ref="BS7:BS35" si="71">IF($G7&gt;BK7,1,0)</f>
        <v>0</v>
      </c>
      <c r="BT7" s="101" t="b">
        <f t="shared" ref="BT7:BT35" si="72">AND(BR7=1,BS7=1)</f>
        <v>0</v>
      </c>
      <c r="BU7" s="99">
        <f t="shared" ref="BU7:BU35" si="73">IF($E7&lt;BL7,1,0)</f>
        <v>0</v>
      </c>
      <c r="BV7" s="100">
        <f t="shared" ref="BV7:BV35" si="74">IF($G7&gt;=BL7,1,0)</f>
        <v>1</v>
      </c>
      <c r="BW7" s="101" t="b">
        <f t="shared" ref="BW7:BW35" si="75">AND(BU7=1,BV7=1)</f>
        <v>0</v>
      </c>
      <c r="BX7" s="102">
        <f t="shared" ref="BX7:BX35" si="76">IF(AND(BT7=FALSE,BW7=FALSE),0,IF(AND(BT7=TRUE,BW7=TRUE),BL7-BK7,IF(AND(BT7=FALSE,BW7=TRUE),BL7-$E7,$G7-BK7)))</f>
        <v>0</v>
      </c>
      <c r="BY7" s="682">
        <f t="shared" ref="BY7:BY35" si="77">IF(BX7-BP7&lt;0,0,BX7-BP7)</f>
        <v>0</v>
      </c>
      <c r="BZ7" s="124">
        <f t="shared" ref="BZ7:BZ35" si="78">BZ6</f>
        <v>0</v>
      </c>
      <c r="CA7" s="125">
        <f t="shared" ref="CA7:CA35" si="79">CA6</f>
        <v>0</v>
      </c>
      <c r="CB7" s="95" t="b">
        <f t="shared" ref="CB7:CB35" si="80">NOT(BZ7&lt;TIMEVALUE("22:00"))</f>
        <v>0</v>
      </c>
      <c r="CC7" s="96" t="b">
        <f t="shared" ref="CC7:CC35" si="81">NOT(CA7&lt;TIMEVALUE("22:00"))</f>
        <v>0</v>
      </c>
      <c r="CD7" s="97">
        <f t="shared" ref="CD7:CD35" si="82">CA7-BZ7</f>
        <v>0</v>
      </c>
      <c r="CE7" s="98">
        <f t="shared" ref="CE7:CE35" si="83">IF(AND(CB7=FALSE,CC7=FALSE),CA7-BZ7,IF(AND(CB7=FALSE,CC7=TRUE),TIMEVALUE("22:00")-BZ7,0))</f>
        <v>0</v>
      </c>
      <c r="CF7" s="682">
        <f t="shared" ref="CF7:CF35" si="84">CD7-CE7</f>
        <v>0</v>
      </c>
      <c r="CG7" s="99">
        <f t="shared" ref="CG7:CG35" si="85">IF($E7&lt;=BZ7,1,0)</f>
        <v>1</v>
      </c>
      <c r="CH7" s="100">
        <f t="shared" ref="CH7:CH35" si="86">IF($G7&gt;BZ7,1,0)</f>
        <v>0</v>
      </c>
      <c r="CI7" s="101" t="b">
        <f t="shared" ref="CI7:CI35" si="87">AND(CG7=1,CH7=1)</f>
        <v>0</v>
      </c>
      <c r="CJ7" s="99">
        <f t="shared" ref="CJ7:CJ35" si="88">IF($E7&lt;CA7,1,0)</f>
        <v>0</v>
      </c>
      <c r="CK7" s="100">
        <f t="shared" ref="CK7:CK35" si="89">IF($G7&gt;=CA7,1,0)</f>
        <v>1</v>
      </c>
      <c r="CL7" s="101" t="b">
        <f t="shared" ref="CL7:CL35" si="90">AND(CJ7=1,CK7=1)</f>
        <v>0</v>
      </c>
      <c r="CM7" s="102">
        <f t="shared" ref="CM7:CM35" si="91">IF(AND(CI7=FALSE,CL7=FALSE),0,IF(AND(CI7=TRUE,CL7=TRUE),CA7-BZ7,IF(AND(CI7=FALSE,CL7=TRUE),CA7-$E7,$G7-BZ7)))</f>
        <v>0</v>
      </c>
      <c r="CN7" s="682">
        <f t="shared" ref="CN7:CN35" si="92">IF(CM7-CE7&lt;0,0,CM7-CE7)</f>
        <v>0</v>
      </c>
      <c r="CO7" s="124">
        <f t="shared" ref="CO7:CO35" si="93">CO6</f>
        <v>0</v>
      </c>
      <c r="CP7" s="125">
        <f t="shared" ref="CP7:CP35" si="94">CP6</f>
        <v>0</v>
      </c>
      <c r="CQ7" s="103" t="b">
        <f t="shared" ref="CQ7:CQ35" si="95">NOT(CO7&lt;TIMEVALUE("22:00"))</f>
        <v>0</v>
      </c>
      <c r="CR7" s="96" t="b">
        <f t="shared" ref="CR7:CR35" si="96">NOT(CP7&lt;TIMEVALUE("22:00"))</f>
        <v>0</v>
      </c>
      <c r="CS7" s="97">
        <f t="shared" ref="CS7:CS35" si="97">CP7-CO7</f>
        <v>0</v>
      </c>
      <c r="CT7" s="98">
        <f t="shared" ref="CT7:CT35" si="98">IF(AND(CQ7=FALSE,CR7=FALSE),CP7-CO7,IF(AND(CQ7=FALSE,CR7=TRUE),TIMEVALUE("22:00")-CO7,0))</f>
        <v>0</v>
      </c>
      <c r="CU7" s="682">
        <f t="shared" ref="CU7:CU35" si="99">CS7-CT7</f>
        <v>0</v>
      </c>
      <c r="CV7" s="99">
        <f t="shared" ref="CV7:CV35" si="100">IF($E7&lt;=CO7,1,0)</f>
        <v>1</v>
      </c>
      <c r="CW7" s="100">
        <f t="shared" ref="CW7:CW35" si="101">IF($G7&gt;CO7,1,0)</f>
        <v>0</v>
      </c>
      <c r="CX7" s="101" t="b">
        <f t="shared" ref="CX7:CX35" si="102">AND(CV7=1,CW7=1)</f>
        <v>0</v>
      </c>
      <c r="CY7" s="99">
        <f t="shared" ref="CY7:CY35" si="103">IF($E7&lt;CP7,1,0)</f>
        <v>0</v>
      </c>
      <c r="CZ7" s="100">
        <f t="shared" ref="CZ7:CZ35" si="104">IF($G7&gt;=CP7,1,0)</f>
        <v>1</v>
      </c>
      <c r="DA7" s="101" t="b">
        <f t="shared" ref="DA7:DA35" si="105">AND(CY7=1,CZ7=1)</f>
        <v>0</v>
      </c>
      <c r="DB7" s="102">
        <f t="shared" ref="DB7:DB35" si="106">IF(AND(CX7=FALSE,DA7=FALSE),0,IF(AND(CX7=TRUE,DA7=TRUE),CP7-CO7,IF(AND(CX7=FALSE,DA7=TRUE),CP7-$E7,$G7-CO7)))</f>
        <v>0</v>
      </c>
      <c r="DC7" s="683">
        <f t="shared" ref="DC7:DC35" si="107">IF(DB7-CT7&lt;0,0,DB7-CT7)</f>
        <v>0</v>
      </c>
      <c r="DD7" s="123">
        <f t="shared" ref="DD7:DD35" si="108">SUM(AT7,BI7,BX7,CM7,DB7)</f>
        <v>0</v>
      </c>
      <c r="DE7" s="104">
        <f t="shared" ref="DE7:DE35" si="109">SUM(AU7,BJ7,BY7,CN7,DC7)</f>
        <v>0</v>
      </c>
      <c r="DG7" s="58">
        <v>2010</v>
      </c>
      <c r="DH7" s="58">
        <v>6</v>
      </c>
      <c r="DI7" s="339" t="s">
        <v>580</v>
      </c>
      <c r="DJ7" s="347" t="s">
        <v>546</v>
      </c>
      <c r="DK7" s="341"/>
      <c r="DL7" s="571" t="s">
        <v>434</v>
      </c>
      <c r="DM7" s="120">
        <f t="shared" si="0"/>
        <v>44503</v>
      </c>
      <c r="DN7" s="162" t="s">
        <v>489</v>
      </c>
      <c r="DO7" s="51">
        <f>祝日表!B9</f>
        <v>11</v>
      </c>
      <c r="DP7" s="572" t="s">
        <v>425</v>
      </c>
      <c r="DQ7" s="51">
        <f>祝日表!D9</f>
        <v>3</v>
      </c>
      <c r="DR7" s="573" t="s">
        <v>426</v>
      </c>
      <c r="DS7" s="145"/>
      <c r="DT7" s="58">
        <v>10</v>
      </c>
      <c r="DU7" s="120">
        <f t="shared" si="24"/>
        <v>44206</v>
      </c>
      <c r="DV7" s="51">
        <f t="shared" si="25"/>
        <v>1</v>
      </c>
      <c r="DW7" s="144"/>
      <c r="DX7" s="152"/>
      <c r="DY7" s="139">
        <f t="shared" si="2"/>
        <v>0</v>
      </c>
      <c r="DZ7" s="119">
        <f t="shared" si="26"/>
        <v>1</v>
      </c>
      <c r="EA7" s="51">
        <f t="shared" si="27"/>
        <v>1</v>
      </c>
      <c r="EB7" s="144"/>
      <c r="EC7" s="51">
        <f t="shared" si="28"/>
        <v>0</v>
      </c>
      <c r="ED7" s="144"/>
      <c r="EE7" s="622"/>
      <c r="EF7" s="558" t="s">
        <v>581</v>
      </c>
      <c r="EG7" s="545"/>
      <c r="EH7" s="545"/>
      <c r="EI7" s="229"/>
      <c r="EJ7" s="229"/>
    </row>
    <row r="8" spans="1:140" ht="15" customHeight="1">
      <c r="A8" s="428">
        <f t="shared" si="29"/>
        <v>44401</v>
      </c>
      <c r="B8" s="132" t="str">
        <f t="shared" si="30"/>
        <v>土</v>
      </c>
      <c r="C8" s="129" t="str">
        <f t="shared" si="3"/>
        <v/>
      </c>
      <c r="D8" s="240"/>
      <c r="E8" s="239">
        <f t="shared" si="4"/>
        <v>0</v>
      </c>
      <c r="F8" s="241"/>
      <c r="G8" s="239">
        <f t="shared" si="5"/>
        <v>0</v>
      </c>
      <c r="H8" s="92">
        <f t="shared" si="31"/>
        <v>0</v>
      </c>
      <c r="I8" s="93">
        <f t="shared" si="32"/>
        <v>0</v>
      </c>
      <c r="J8" s="184">
        <f t="shared" si="6"/>
        <v>0</v>
      </c>
      <c r="K8" s="194">
        <f t="shared" si="7"/>
        <v>0</v>
      </c>
      <c r="L8" s="357">
        <f t="shared" si="8"/>
        <v>0</v>
      </c>
      <c r="M8" s="184">
        <f t="shared" si="9"/>
        <v>0</v>
      </c>
      <c r="N8" s="93">
        <f t="shared" si="1"/>
        <v>0</v>
      </c>
      <c r="O8" s="94">
        <f t="shared" si="10"/>
        <v>0</v>
      </c>
      <c r="P8" s="225"/>
      <c r="Q8" s="346"/>
      <c r="R8" s="298">
        <f t="shared" si="11"/>
        <v>0</v>
      </c>
      <c r="S8" s="138">
        <f t="shared" si="12"/>
        <v>0</v>
      </c>
      <c r="T8" s="298">
        <f t="shared" si="13"/>
        <v>0</v>
      </c>
      <c r="U8" s="298">
        <f t="shared" si="14"/>
        <v>0</v>
      </c>
      <c r="V8" s="298">
        <f t="shared" si="15"/>
        <v>0</v>
      </c>
      <c r="W8" s="138">
        <f t="shared" si="16"/>
        <v>0</v>
      </c>
      <c r="X8" s="138">
        <f t="shared" si="17"/>
        <v>0</v>
      </c>
      <c r="Y8" s="138">
        <f t="shared" si="18"/>
        <v>0</v>
      </c>
      <c r="Z8" s="138">
        <f t="shared" si="19"/>
        <v>0</v>
      </c>
      <c r="AA8" s="138">
        <f t="shared" si="20"/>
        <v>0</v>
      </c>
      <c r="AB8" s="138">
        <f t="shared" si="21"/>
        <v>0</v>
      </c>
      <c r="AC8" s="138">
        <f t="shared" si="22"/>
        <v>0</v>
      </c>
      <c r="AD8" s="138">
        <f t="shared" si="23"/>
        <v>0</v>
      </c>
      <c r="AE8" s="342"/>
      <c r="AF8" s="544"/>
      <c r="AG8" s="124">
        <f t="shared" si="33"/>
        <v>0.54166666666666663</v>
      </c>
      <c r="AH8" s="125">
        <f t="shared" si="34"/>
        <v>0.57291666666666663</v>
      </c>
      <c r="AI8" s="95" t="b">
        <f t="shared" si="35"/>
        <v>0</v>
      </c>
      <c r="AJ8" s="96" t="b">
        <f t="shared" si="36"/>
        <v>0</v>
      </c>
      <c r="AK8" s="97">
        <f t="shared" si="37"/>
        <v>3.125E-2</v>
      </c>
      <c r="AL8" s="98">
        <f t="shared" si="38"/>
        <v>3.125E-2</v>
      </c>
      <c r="AM8" s="682">
        <f t="shared" si="39"/>
        <v>0</v>
      </c>
      <c r="AN8" s="99">
        <f t="shared" si="40"/>
        <v>1</v>
      </c>
      <c r="AO8" s="100">
        <f t="shared" si="41"/>
        <v>0</v>
      </c>
      <c r="AP8" s="101" t="b">
        <f t="shared" si="42"/>
        <v>0</v>
      </c>
      <c r="AQ8" s="99">
        <f t="shared" si="43"/>
        <v>1</v>
      </c>
      <c r="AR8" s="100">
        <f t="shared" si="44"/>
        <v>0</v>
      </c>
      <c r="AS8" s="101" t="b">
        <f t="shared" si="45"/>
        <v>0</v>
      </c>
      <c r="AT8" s="102">
        <f t="shared" si="46"/>
        <v>0</v>
      </c>
      <c r="AU8" s="682">
        <f t="shared" si="47"/>
        <v>0</v>
      </c>
      <c r="AV8" s="124">
        <f t="shared" si="48"/>
        <v>0.875</v>
      </c>
      <c r="AW8" s="125">
        <f t="shared" si="49"/>
        <v>0.89583333333333337</v>
      </c>
      <c r="AX8" s="95" t="b">
        <f t="shared" si="50"/>
        <v>0</v>
      </c>
      <c r="AY8" s="96" t="b">
        <f t="shared" si="51"/>
        <v>0</v>
      </c>
      <c r="AZ8" s="97">
        <f t="shared" si="52"/>
        <v>2.083333333333337E-2</v>
      </c>
      <c r="BA8" s="98">
        <f t="shared" si="53"/>
        <v>2.083333333333337E-2</v>
      </c>
      <c r="BB8" s="682">
        <f t="shared" si="54"/>
        <v>0</v>
      </c>
      <c r="BC8" s="99">
        <f t="shared" si="55"/>
        <v>1</v>
      </c>
      <c r="BD8" s="100">
        <f t="shared" si="56"/>
        <v>0</v>
      </c>
      <c r="BE8" s="101" t="b">
        <f t="shared" si="57"/>
        <v>0</v>
      </c>
      <c r="BF8" s="99">
        <f t="shared" si="58"/>
        <v>1</v>
      </c>
      <c r="BG8" s="100">
        <f t="shared" si="59"/>
        <v>0</v>
      </c>
      <c r="BH8" s="101" t="b">
        <f t="shared" si="60"/>
        <v>0</v>
      </c>
      <c r="BI8" s="102">
        <f t="shared" si="61"/>
        <v>0</v>
      </c>
      <c r="BJ8" s="682">
        <f t="shared" si="62"/>
        <v>0</v>
      </c>
      <c r="BK8" s="124">
        <f t="shared" si="63"/>
        <v>0</v>
      </c>
      <c r="BL8" s="125">
        <f t="shared" si="64"/>
        <v>0</v>
      </c>
      <c r="BM8" s="95" t="b">
        <f t="shared" si="65"/>
        <v>0</v>
      </c>
      <c r="BN8" s="96" t="b">
        <f t="shared" si="66"/>
        <v>0</v>
      </c>
      <c r="BO8" s="97">
        <f t="shared" si="67"/>
        <v>0</v>
      </c>
      <c r="BP8" s="98">
        <f t="shared" si="68"/>
        <v>0</v>
      </c>
      <c r="BQ8" s="682">
        <f t="shared" si="69"/>
        <v>0</v>
      </c>
      <c r="BR8" s="99">
        <f t="shared" si="70"/>
        <v>1</v>
      </c>
      <c r="BS8" s="100">
        <f t="shared" si="71"/>
        <v>0</v>
      </c>
      <c r="BT8" s="101" t="b">
        <f t="shared" si="72"/>
        <v>0</v>
      </c>
      <c r="BU8" s="99">
        <f t="shared" si="73"/>
        <v>0</v>
      </c>
      <c r="BV8" s="100">
        <f t="shared" si="74"/>
        <v>1</v>
      </c>
      <c r="BW8" s="101" t="b">
        <f t="shared" si="75"/>
        <v>0</v>
      </c>
      <c r="BX8" s="102">
        <f t="shared" si="76"/>
        <v>0</v>
      </c>
      <c r="BY8" s="682">
        <f t="shared" si="77"/>
        <v>0</v>
      </c>
      <c r="BZ8" s="124">
        <f t="shared" si="78"/>
        <v>0</v>
      </c>
      <c r="CA8" s="125">
        <f t="shared" si="79"/>
        <v>0</v>
      </c>
      <c r="CB8" s="95" t="b">
        <f t="shared" si="80"/>
        <v>0</v>
      </c>
      <c r="CC8" s="96" t="b">
        <f t="shared" si="81"/>
        <v>0</v>
      </c>
      <c r="CD8" s="97">
        <f t="shared" si="82"/>
        <v>0</v>
      </c>
      <c r="CE8" s="98">
        <f t="shared" si="83"/>
        <v>0</v>
      </c>
      <c r="CF8" s="682">
        <f t="shared" si="84"/>
        <v>0</v>
      </c>
      <c r="CG8" s="99">
        <f t="shared" si="85"/>
        <v>1</v>
      </c>
      <c r="CH8" s="100">
        <f t="shared" si="86"/>
        <v>0</v>
      </c>
      <c r="CI8" s="101" t="b">
        <f t="shared" si="87"/>
        <v>0</v>
      </c>
      <c r="CJ8" s="99">
        <f t="shared" si="88"/>
        <v>0</v>
      </c>
      <c r="CK8" s="100">
        <f t="shared" si="89"/>
        <v>1</v>
      </c>
      <c r="CL8" s="101" t="b">
        <f t="shared" si="90"/>
        <v>0</v>
      </c>
      <c r="CM8" s="102">
        <f t="shared" si="91"/>
        <v>0</v>
      </c>
      <c r="CN8" s="682">
        <f t="shared" si="92"/>
        <v>0</v>
      </c>
      <c r="CO8" s="124">
        <f t="shared" si="93"/>
        <v>0</v>
      </c>
      <c r="CP8" s="125">
        <f t="shared" si="94"/>
        <v>0</v>
      </c>
      <c r="CQ8" s="103" t="b">
        <f t="shared" si="95"/>
        <v>0</v>
      </c>
      <c r="CR8" s="96" t="b">
        <f t="shared" si="96"/>
        <v>0</v>
      </c>
      <c r="CS8" s="97">
        <f t="shared" si="97"/>
        <v>0</v>
      </c>
      <c r="CT8" s="98">
        <f t="shared" si="98"/>
        <v>0</v>
      </c>
      <c r="CU8" s="682">
        <f t="shared" si="99"/>
        <v>0</v>
      </c>
      <c r="CV8" s="99">
        <f t="shared" si="100"/>
        <v>1</v>
      </c>
      <c r="CW8" s="100">
        <f t="shared" si="101"/>
        <v>0</v>
      </c>
      <c r="CX8" s="101" t="b">
        <f t="shared" si="102"/>
        <v>0</v>
      </c>
      <c r="CY8" s="99">
        <f t="shared" si="103"/>
        <v>0</v>
      </c>
      <c r="CZ8" s="100">
        <f t="shared" si="104"/>
        <v>1</v>
      </c>
      <c r="DA8" s="101" t="b">
        <f t="shared" si="105"/>
        <v>0</v>
      </c>
      <c r="DB8" s="102">
        <f t="shared" si="106"/>
        <v>0</v>
      </c>
      <c r="DC8" s="683">
        <f t="shared" si="107"/>
        <v>0</v>
      </c>
      <c r="DD8" s="123">
        <f t="shared" si="108"/>
        <v>0</v>
      </c>
      <c r="DE8" s="104">
        <f t="shared" si="109"/>
        <v>0</v>
      </c>
      <c r="DG8" s="58">
        <v>2011</v>
      </c>
      <c r="DH8" s="58">
        <v>7</v>
      </c>
      <c r="DI8" s="339" t="s">
        <v>582</v>
      </c>
      <c r="DJ8" s="351" t="s">
        <v>547</v>
      </c>
      <c r="DK8" s="341"/>
      <c r="DL8" s="571" t="s">
        <v>435</v>
      </c>
      <c r="DM8" s="120">
        <f t="shared" si="0"/>
        <v>44523</v>
      </c>
      <c r="DN8" s="162" t="s">
        <v>489</v>
      </c>
      <c r="DO8" s="51">
        <f>祝日表!B10</f>
        <v>11</v>
      </c>
      <c r="DP8" s="572" t="s">
        <v>425</v>
      </c>
      <c r="DQ8" s="51">
        <f>祝日表!D10</f>
        <v>23</v>
      </c>
      <c r="DR8" s="573" t="s">
        <v>426</v>
      </c>
      <c r="DS8" s="150"/>
      <c r="DT8" s="58">
        <v>11</v>
      </c>
      <c r="DU8" s="120">
        <f t="shared" si="24"/>
        <v>44207</v>
      </c>
      <c r="DV8" s="51">
        <f t="shared" si="25"/>
        <v>2</v>
      </c>
      <c r="DW8" s="144"/>
      <c r="DX8" s="152"/>
      <c r="DY8" s="139">
        <f t="shared" si="2"/>
        <v>1</v>
      </c>
      <c r="DZ8" s="119">
        <f t="shared" si="26"/>
        <v>0</v>
      </c>
      <c r="EA8" s="51">
        <f t="shared" si="27"/>
        <v>1</v>
      </c>
      <c r="EB8" s="144"/>
      <c r="EC8" s="51">
        <f t="shared" si="28"/>
        <v>0</v>
      </c>
      <c r="ED8" s="144"/>
      <c r="EE8" s="622"/>
      <c r="EF8" s="558" t="s">
        <v>583</v>
      </c>
      <c r="EG8" s="545"/>
      <c r="EH8" s="545"/>
      <c r="EI8" s="229"/>
      <c r="EJ8" s="229"/>
    </row>
    <row r="9" spans="1:140" ht="15" customHeight="1">
      <c r="A9" s="428">
        <f t="shared" si="29"/>
        <v>44402</v>
      </c>
      <c r="B9" s="132" t="str">
        <f t="shared" si="30"/>
        <v>日</v>
      </c>
      <c r="C9" s="129" t="str">
        <f t="shared" si="3"/>
        <v/>
      </c>
      <c r="D9" s="240"/>
      <c r="E9" s="239">
        <f t="shared" si="4"/>
        <v>0</v>
      </c>
      <c r="F9" s="241"/>
      <c r="G9" s="239">
        <f t="shared" si="5"/>
        <v>0</v>
      </c>
      <c r="H9" s="92">
        <f t="shared" si="31"/>
        <v>0</v>
      </c>
      <c r="I9" s="93">
        <f t="shared" si="32"/>
        <v>0</v>
      </c>
      <c r="J9" s="184">
        <f t="shared" si="6"/>
        <v>0</v>
      </c>
      <c r="K9" s="194">
        <f t="shared" si="7"/>
        <v>0</v>
      </c>
      <c r="L9" s="357">
        <f t="shared" si="8"/>
        <v>0</v>
      </c>
      <c r="M9" s="184">
        <f t="shared" si="9"/>
        <v>0</v>
      </c>
      <c r="N9" s="93">
        <f t="shared" si="1"/>
        <v>0</v>
      </c>
      <c r="O9" s="94">
        <f t="shared" si="10"/>
        <v>0</v>
      </c>
      <c r="P9" s="225"/>
      <c r="Q9" s="564"/>
      <c r="R9" s="298">
        <f t="shared" si="11"/>
        <v>0</v>
      </c>
      <c r="S9" s="138">
        <f t="shared" si="12"/>
        <v>0</v>
      </c>
      <c r="T9" s="298">
        <f t="shared" si="13"/>
        <v>0</v>
      </c>
      <c r="U9" s="298">
        <f t="shared" si="14"/>
        <v>0</v>
      </c>
      <c r="V9" s="298">
        <f t="shared" si="15"/>
        <v>0</v>
      </c>
      <c r="W9" s="138">
        <f t="shared" si="16"/>
        <v>0</v>
      </c>
      <c r="X9" s="138">
        <f t="shared" si="17"/>
        <v>0</v>
      </c>
      <c r="Y9" s="138">
        <f t="shared" si="18"/>
        <v>0</v>
      </c>
      <c r="Z9" s="138">
        <f t="shared" si="19"/>
        <v>0</v>
      </c>
      <c r="AA9" s="138">
        <f t="shared" si="20"/>
        <v>0</v>
      </c>
      <c r="AB9" s="138">
        <f t="shared" si="21"/>
        <v>0</v>
      </c>
      <c r="AC9" s="138">
        <f t="shared" si="22"/>
        <v>0</v>
      </c>
      <c r="AD9" s="138">
        <f t="shared" si="23"/>
        <v>0</v>
      </c>
      <c r="AE9" s="342"/>
      <c r="AF9" s="544"/>
      <c r="AG9" s="124">
        <f t="shared" si="33"/>
        <v>0.54166666666666663</v>
      </c>
      <c r="AH9" s="125">
        <f t="shared" si="34"/>
        <v>0.57291666666666663</v>
      </c>
      <c r="AI9" s="95" t="b">
        <f t="shared" si="35"/>
        <v>0</v>
      </c>
      <c r="AJ9" s="96" t="b">
        <f t="shared" si="36"/>
        <v>0</v>
      </c>
      <c r="AK9" s="97">
        <f t="shared" si="37"/>
        <v>3.125E-2</v>
      </c>
      <c r="AL9" s="98">
        <f t="shared" si="38"/>
        <v>3.125E-2</v>
      </c>
      <c r="AM9" s="682">
        <f t="shared" si="39"/>
        <v>0</v>
      </c>
      <c r="AN9" s="99">
        <f t="shared" si="40"/>
        <v>1</v>
      </c>
      <c r="AO9" s="100">
        <f t="shared" si="41"/>
        <v>0</v>
      </c>
      <c r="AP9" s="101" t="b">
        <f t="shared" si="42"/>
        <v>0</v>
      </c>
      <c r="AQ9" s="99">
        <f t="shared" si="43"/>
        <v>1</v>
      </c>
      <c r="AR9" s="100">
        <f t="shared" si="44"/>
        <v>0</v>
      </c>
      <c r="AS9" s="101" t="b">
        <f t="shared" si="45"/>
        <v>0</v>
      </c>
      <c r="AT9" s="102">
        <f t="shared" si="46"/>
        <v>0</v>
      </c>
      <c r="AU9" s="682">
        <f t="shared" si="47"/>
        <v>0</v>
      </c>
      <c r="AV9" s="124">
        <f t="shared" si="48"/>
        <v>0.875</v>
      </c>
      <c r="AW9" s="125">
        <f t="shared" si="49"/>
        <v>0.89583333333333337</v>
      </c>
      <c r="AX9" s="95" t="b">
        <f t="shared" si="50"/>
        <v>0</v>
      </c>
      <c r="AY9" s="96" t="b">
        <f t="shared" si="51"/>
        <v>0</v>
      </c>
      <c r="AZ9" s="97">
        <f t="shared" si="52"/>
        <v>2.083333333333337E-2</v>
      </c>
      <c r="BA9" s="98">
        <f t="shared" si="53"/>
        <v>2.083333333333337E-2</v>
      </c>
      <c r="BB9" s="682">
        <f t="shared" si="54"/>
        <v>0</v>
      </c>
      <c r="BC9" s="99">
        <f t="shared" si="55"/>
        <v>1</v>
      </c>
      <c r="BD9" s="100">
        <f t="shared" si="56"/>
        <v>0</v>
      </c>
      <c r="BE9" s="101" t="b">
        <f t="shared" si="57"/>
        <v>0</v>
      </c>
      <c r="BF9" s="99">
        <f t="shared" si="58"/>
        <v>1</v>
      </c>
      <c r="BG9" s="100">
        <f t="shared" si="59"/>
        <v>0</v>
      </c>
      <c r="BH9" s="101" t="b">
        <f t="shared" si="60"/>
        <v>0</v>
      </c>
      <c r="BI9" s="102">
        <f t="shared" si="61"/>
        <v>0</v>
      </c>
      <c r="BJ9" s="682">
        <f t="shared" si="62"/>
        <v>0</v>
      </c>
      <c r="BK9" s="124">
        <f t="shared" si="63"/>
        <v>0</v>
      </c>
      <c r="BL9" s="125">
        <f t="shared" si="64"/>
        <v>0</v>
      </c>
      <c r="BM9" s="95" t="b">
        <f t="shared" si="65"/>
        <v>0</v>
      </c>
      <c r="BN9" s="96" t="b">
        <f t="shared" si="66"/>
        <v>0</v>
      </c>
      <c r="BO9" s="97">
        <f t="shared" si="67"/>
        <v>0</v>
      </c>
      <c r="BP9" s="98">
        <f t="shared" si="68"/>
        <v>0</v>
      </c>
      <c r="BQ9" s="682">
        <f t="shared" si="69"/>
        <v>0</v>
      </c>
      <c r="BR9" s="99">
        <f t="shared" si="70"/>
        <v>1</v>
      </c>
      <c r="BS9" s="100">
        <f t="shared" si="71"/>
        <v>0</v>
      </c>
      <c r="BT9" s="101" t="b">
        <f t="shared" si="72"/>
        <v>0</v>
      </c>
      <c r="BU9" s="99">
        <f t="shared" si="73"/>
        <v>0</v>
      </c>
      <c r="BV9" s="100">
        <f t="shared" si="74"/>
        <v>1</v>
      </c>
      <c r="BW9" s="101" t="b">
        <f t="shared" si="75"/>
        <v>0</v>
      </c>
      <c r="BX9" s="102">
        <f t="shared" si="76"/>
        <v>0</v>
      </c>
      <c r="BY9" s="682">
        <f t="shared" si="77"/>
        <v>0</v>
      </c>
      <c r="BZ9" s="124">
        <f t="shared" si="78"/>
        <v>0</v>
      </c>
      <c r="CA9" s="125">
        <f t="shared" si="79"/>
        <v>0</v>
      </c>
      <c r="CB9" s="95" t="b">
        <f t="shared" si="80"/>
        <v>0</v>
      </c>
      <c r="CC9" s="96" t="b">
        <f t="shared" si="81"/>
        <v>0</v>
      </c>
      <c r="CD9" s="97">
        <f t="shared" si="82"/>
        <v>0</v>
      </c>
      <c r="CE9" s="98">
        <f t="shared" si="83"/>
        <v>0</v>
      </c>
      <c r="CF9" s="682">
        <f t="shared" si="84"/>
        <v>0</v>
      </c>
      <c r="CG9" s="99">
        <f t="shared" si="85"/>
        <v>1</v>
      </c>
      <c r="CH9" s="100">
        <f t="shared" si="86"/>
        <v>0</v>
      </c>
      <c r="CI9" s="101" t="b">
        <f t="shared" si="87"/>
        <v>0</v>
      </c>
      <c r="CJ9" s="99">
        <f t="shared" si="88"/>
        <v>0</v>
      </c>
      <c r="CK9" s="100">
        <f t="shared" si="89"/>
        <v>1</v>
      </c>
      <c r="CL9" s="101" t="b">
        <f t="shared" si="90"/>
        <v>0</v>
      </c>
      <c r="CM9" s="102">
        <f t="shared" si="91"/>
        <v>0</v>
      </c>
      <c r="CN9" s="682">
        <f t="shared" si="92"/>
        <v>0</v>
      </c>
      <c r="CO9" s="124">
        <f t="shared" si="93"/>
        <v>0</v>
      </c>
      <c r="CP9" s="125">
        <f t="shared" si="94"/>
        <v>0</v>
      </c>
      <c r="CQ9" s="103" t="b">
        <f t="shared" si="95"/>
        <v>0</v>
      </c>
      <c r="CR9" s="96" t="b">
        <f t="shared" si="96"/>
        <v>0</v>
      </c>
      <c r="CS9" s="97">
        <f t="shared" si="97"/>
        <v>0</v>
      </c>
      <c r="CT9" s="98">
        <f t="shared" si="98"/>
        <v>0</v>
      </c>
      <c r="CU9" s="682">
        <f t="shared" si="99"/>
        <v>0</v>
      </c>
      <c r="CV9" s="99">
        <f t="shared" si="100"/>
        <v>1</v>
      </c>
      <c r="CW9" s="100">
        <f t="shared" si="101"/>
        <v>0</v>
      </c>
      <c r="CX9" s="101" t="b">
        <f t="shared" si="102"/>
        <v>0</v>
      </c>
      <c r="CY9" s="99">
        <f t="shared" si="103"/>
        <v>0</v>
      </c>
      <c r="CZ9" s="100">
        <f t="shared" si="104"/>
        <v>1</v>
      </c>
      <c r="DA9" s="101" t="b">
        <f t="shared" si="105"/>
        <v>0</v>
      </c>
      <c r="DB9" s="102">
        <f t="shared" si="106"/>
        <v>0</v>
      </c>
      <c r="DC9" s="683">
        <f t="shared" si="107"/>
        <v>0</v>
      </c>
      <c r="DD9" s="123">
        <f t="shared" si="108"/>
        <v>0</v>
      </c>
      <c r="DE9" s="104">
        <f t="shared" si="109"/>
        <v>0</v>
      </c>
      <c r="DG9" s="58">
        <v>2012</v>
      </c>
      <c r="DH9" s="58">
        <v>8</v>
      </c>
      <c r="DI9" s="339"/>
      <c r="DJ9" s="58" t="s">
        <v>548</v>
      </c>
      <c r="DK9" s="341"/>
      <c r="DL9" s="648" t="s">
        <v>436</v>
      </c>
      <c r="DM9" s="120">
        <f>DATE($A$1,DO9,DQ9)</f>
        <v>44250</v>
      </c>
      <c r="DN9" s="162" t="s">
        <v>489</v>
      </c>
      <c r="DO9" s="51">
        <f>祝日表!B11</f>
        <v>2</v>
      </c>
      <c r="DP9" s="572" t="s">
        <v>425</v>
      </c>
      <c r="DQ9" s="51">
        <f>祝日表!D11</f>
        <v>23</v>
      </c>
      <c r="DR9" s="573" t="s">
        <v>426</v>
      </c>
      <c r="DS9" s="145"/>
      <c r="DT9" s="58">
        <v>12</v>
      </c>
      <c r="DU9" s="120">
        <f t="shared" si="24"/>
        <v>44208</v>
      </c>
      <c r="DV9" s="51">
        <f t="shared" si="25"/>
        <v>3</v>
      </c>
      <c r="DW9" s="121" t="s">
        <v>584</v>
      </c>
      <c r="DX9" s="152"/>
      <c r="DY9" s="139">
        <f t="shared" si="2"/>
        <v>1</v>
      </c>
      <c r="DZ9" s="119">
        <f t="shared" si="26"/>
        <v>0</v>
      </c>
      <c r="EA9" s="51">
        <f t="shared" si="27"/>
        <v>1</v>
      </c>
      <c r="EB9" s="144"/>
      <c r="EC9" s="51">
        <f t="shared" si="28"/>
        <v>0</v>
      </c>
      <c r="ED9" s="144"/>
      <c r="EE9" s="622"/>
      <c r="EF9" s="558" t="s">
        <v>585</v>
      </c>
      <c r="EG9" s="545"/>
      <c r="EH9" s="545"/>
      <c r="EI9" s="229"/>
      <c r="EJ9" s="229"/>
    </row>
    <row r="10" spans="1:140" ht="15" customHeight="1">
      <c r="A10" s="428">
        <f t="shared" si="29"/>
        <v>44403</v>
      </c>
      <c r="B10" s="132" t="str">
        <f t="shared" si="30"/>
        <v>月</v>
      </c>
      <c r="C10" s="129" t="str">
        <f t="shared" si="3"/>
        <v/>
      </c>
      <c r="D10" s="240">
        <v>0.35416666666666669</v>
      </c>
      <c r="E10" s="239">
        <f t="shared" si="4"/>
        <v>0.35416666666666663</v>
      </c>
      <c r="F10" s="241">
        <v>0.71875</v>
      </c>
      <c r="G10" s="239">
        <f t="shared" si="5"/>
        <v>0.71875</v>
      </c>
      <c r="H10" s="92">
        <f t="shared" si="31"/>
        <v>0.36458333333333337</v>
      </c>
      <c r="I10" s="93">
        <f t="shared" si="32"/>
        <v>3.125E-2</v>
      </c>
      <c r="J10" s="184">
        <f t="shared" si="6"/>
        <v>0.33333333333333331</v>
      </c>
      <c r="K10" s="194">
        <f t="shared" si="7"/>
        <v>0</v>
      </c>
      <c r="L10" s="357">
        <f t="shared" si="8"/>
        <v>0.35416666666666663</v>
      </c>
      <c r="M10" s="184">
        <f t="shared" si="9"/>
        <v>0</v>
      </c>
      <c r="N10" s="93">
        <f t="shared" si="1"/>
        <v>0</v>
      </c>
      <c r="O10" s="94">
        <f t="shared" si="10"/>
        <v>0</v>
      </c>
      <c r="P10" s="225"/>
      <c r="Q10" s="564"/>
      <c r="R10" s="298">
        <f t="shared" si="11"/>
        <v>0</v>
      </c>
      <c r="S10" s="138">
        <f t="shared" si="12"/>
        <v>0</v>
      </c>
      <c r="T10" s="298">
        <f t="shared" si="13"/>
        <v>0</v>
      </c>
      <c r="U10" s="298">
        <f t="shared" si="14"/>
        <v>0</v>
      </c>
      <c r="V10" s="298">
        <f t="shared" si="15"/>
        <v>0</v>
      </c>
      <c r="W10" s="138">
        <f t="shared" si="16"/>
        <v>0</v>
      </c>
      <c r="X10" s="138">
        <f t="shared" si="17"/>
        <v>0</v>
      </c>
      <c r="Y10" s="138">
        <f t="shared" si="18"/>
        <v>0</v>
      </c>
      <c r="Z10" s="138">
        <f t="shared" si="19"/>
        <v>0</v>
      </c>
      <c r="AA10" s="138">
        <f t="shared" si="20"/>
        <v>0</v>
      </c>
      <c r="AB10" s="138">
        <f t="shared" si="21"/>
        <v>0</v>
      </c>
      <c r="AC10" s="138">
        <f t="shared" si="22"/>
        <v>0</v>
      </c>
      <c r="AD10" s="138">
        <f t="shared" si="23"/>
        <v>0</v>
      </c>
      <c r="AE10" s="342"/>
      <c r="AF10" s="544"/>
      <c r="AG10" s="124">
        <f t="shared" si="33"/>
        <v>0.54166666666666663</v>
      </c>
      <c r="AH10" s="125">
        <f t="shared" si="34"/>
        <v>0.57291666666666663</v>
      </c>
      <c r="AI10" s="95" t="b">
        <f t="shared" si="35"/>
        <v>0</v>
      </c>
      <c r="AJ10" s="96" t="b">
        <f t="shared" si="36"/>
        <v>0</v>
      </c>
      <c r="AK10" s="97">
        <f t="shared" si="37"/>
        <v>3.125E-2</v>
      </c>
      <c r="AL10" s="98">
        <f t="shared" si="38"/>
        <v>3.125E-2</v>
      </c>
      <c r="AM10" s="682">
        <f t="shared" si="39"/>
        <v>0</v>
      </c>
      <c r="AN10" s="99">
        <f t="shared" si="40"/>
        <v>1</v>
      </c>
      <c r="AO10" s="100">
        <f t="shared" si="41"/>
        <v>1</v>
      </c>
      <c r="AP10" s="101" t="b">
        <f t="shared" si="42"/>
        <v>1</v>
      </c>
      <c r="AQ10" s="99">
        <f t="shared" si="43"/>
        <v>1</v>
      </c>
      <c r="AR10" s="100">
        <f t="shared" si="44"/>
        <v>1</v>
      </c>
      <c r="AS10" s="101" t="b">
        <f t="shared" si="45"/>
        <v>1</v>
      </c>
      <c r="AT10" s="102">
        <f t="shared" si="46"/>
        <v>3.125E-2</v>
      </c>
      <c r="AU10" s="682">
        <f t="shared" si="47"/>
        <v>0</v>
      </c>
      <c r="AV10" s="124">
        <f t="shared" si="48"/>
        <v>0.875</v>
      </c>
      <c r="AW10" s="125">
        <f t="shared" si="49"/>
        <v>0.89583333333333337</v>
      </c>
      <c r="AX10" s="95" t="b">
        <f t="shared" si="50"/>
        <v>0</v>
      </c>
      <c r="AY10" s="96" t="b">
        <f t="shared" si="51"/>
        <v>0</v>
      </c>
      <c r="AZ10" s="97">
        <f t="shared" si="52"/>
        <v>2.083333333333337E-2</v>
      </c>
      <c r="BA10" s="98">
        <f t="shared" si="53"/>
        <v>2.083333333333337E-2</v>
      </c>
      <c r="BB10" s="682">
        <f t="shared" si="54"/>
        <v>0</v>
      </c>
      <c r="BC10" s="99">
        <f t="shared" si="55"/>
        <v>1</v>
      </c>
      <c r="BD10" s="100">
        <f t="shared" si="56"/>
        <v>0</v>
      </c>
      <c r="BE10" s="101" t="b">
        <f t="shared" si="57"/>
        <v>0</v>
      </c>
      <c r="BF10" s="99">
        <f t="shared" si="58"/>
        <v>1</v>
      </c>
      <c r="BG10" s="100">
        <f t="shared" si="59"/>
        <v>0</v>
      </c>
      <c r="BH10" s="101" t="b">
        <f t="shared" si="60"/>
        <v>0</v>
      </c>
      <c r="BI10" s="102">
        <f t="shared" si="61"/>
        <v>0</v>
      </c>
      <c r="BJ10" s="682">
        <f t="shared" si="62"/>
        <v>0</v>
      </c>
      <c r="BK10" s="124">
        <f t="shared" si="63"/>
        <v>0</v>
      </c>
      <c r="BL10" s="125">
        <f t="shared" si="64"/>
        <v>0</v>
      </c>
      <c r="BM10" s="95" t="b">
        <f t="shared" si="65"/>
        <v>0</v>
      </c>
      <c r="BN10" s="96" t="b">
        <f t="shared" si="66"/>
        <v>0</v>
      </c>
      <c r="BO10" s="97">
        <f t="shared" si="67"/>
        <v>0</v>
      </c>
      <c r="BP10" s="98">
        <f t="shared" si="68"/>
        <v>0</v>
      </c>
      <c r="BQ10" s="682">
        <f t="shared" si="69"/>
        <v>0</v>
      </c>
      <c r="BR10" s="99">
        <f t="shared" si="70"/>
        <v>0</v>
      </c>
      <c r="BS10" s="100">
        <f t="shared" si="71"/>
        <v>1</v>
      </c>
      <c r="BT10" s="101" t="b">
        <f t="shared" si="72"/>
        <v>0</v>
      </c>
      <c r="BU10" s="99">
        <f t="shared" si="73"/>
        <v>0</v>
      </c>
      <c r="BV10" s="100">
        <f t="shared" si="74"/>
        <v>1</v>
      </c>
      <c r="BW10" s="101" t="b">
        <f t="shared" si="75"/>
        <v>0</v>
      </c>
      <c r="BX10" s="102">
        <f t="shared" si="76"/>
        <v>0</v>
      </c>
      <c r="BY10" s="682">
        <f t="shared" si="77"/>
        <v>0</v>
      </c>
      <c r="BZ10" s="124">
        <f t="shared" si="78"/>
        <v>0</v>
      </c>
      <c r="CA10" s="125">
        <f t="shared" si="79"/>
        <v>0</v>
      </c>
      <c r="CB10" s="95" t="b">
        <f t="shared" si="80"/>
        <v>0</v>
      </c>
      <c r="CC10" s="96" t="b">
        <f t="shared" si="81"/>
        <v>0</v>
      </c>
      <c r="CD10" s="97">
        <f t="shared" si="82"/>
        <v>0</v>
      </c>
      <c r="CE10" s="98">
        <f t="shared" si="83"/>
        <v>0</v>
      </c>
      <c r="CF10" s="682">
        <f t="shared" si="84"/>
        <v>0</v>
      </c>
      <c r="CG10" s="99">
        <f t="shared" si="85"/>
        <v>0</v>
      </c>
      <c r="CH10" s="100">
        <f t="shared" si="86"/>
        <v>1</v>
      </c>
      <c r="CI10" s="101" t="b">
        <f t="shared" si="87"/>
        <v>0</v>
      </c>
      <c r="CJ10" s="99">
        <f t="shared" si="88"/>
        <v>0</v>
      </c>
      <c r="CK10" s="100">
        <f t="shared" si="89"/>
        <v>1</v>
      </c>
      <c r="CL10" s="101" t="b">
        <f t="shared" si="90"/>
        <v>0</v>
      </c>
      <c r="CM10" s="102">
        <f t="shared" si="91"/>
        <v>0</v>
      </c>
      <c r="CN10" s="682">
        <f t="shared" si="92"/>
        <v>0</v>
      </c>
      <c r="CO10" s="124">
        <f t="shared" si="93"/>
        <v>0</v>
      </c>
      <c r="CP10" s="125">
        <f t="shared" si="94"/>
        <v>0</v>
      </c>
      <c r="CQ10" s="103" t="b">
        <f t="shared" si="95"/>
        <v>0</v>
      </c>
      <c r="CR10" s="96" t="b">
        <f t="shared" si="96"/>
        <v>0</v>
      </c>
      <c r="CS10" s="97">
        <f t="shared" si="97"/>
        <v>0</v>
      </c>
      <c r="CT10" s="98">
        <f t="shared" si="98"/>
        <v>0</v>
      </c>
      <c r="CU10" s="682">
        <f t="shared" si="99"/>
        <v>0</v>
      </c>
      <c r="CV10" s="99">
        <f t="shared" si="100"/>
        <v>0</v>
      </c>
      <c r="CW10" s="100">
        <f t="shared" si="101"/>
        <v>1</v>
      </c>
      <c r="CX10" s="101" t="b">
        <f t="shared" si="102"/>
        <v>0</v>
      </c>
      <c r="CY10" s="99">
        <f t="shared" si="103"/>
        <v>0</v>
      </c>
      <c r="CZ10" s="100">
        <f t="shared" si="104"/>
        <v>1</v>
      </c>
      <c r="DA10" s="101" t="b">
        <f t="shared" si="105"/>
        <v>0</v>
      </c>
      <c r="DB10" s="102">
        <f t="shared" si="106"/>
        <v>0</v>
      </c>
      <c r="DC10" s="683">
        <f t="shared" si="107"/>
        <v>0</v>
      </c>
      <c r="DD10" s="123">
        <f t="shared" si="108"/>
        <v>3.125E-2</v>
      </c>
      <c r="DE10" s="104">
        <f t="shared" si="109"/>
        <v>0</v>
      </c>
      <c r="DG10" s="58">
        <v>2013</v>
      </c>
      <c r="DH10" s="58">
        <v>9</v>
      </c>
      <c r="DI10" s="144"/>
      <c r="DJ10" s="58" t="s">
        <v>549</v>
      </c>
      <c r="DK10" s="341"/>
      <c r="DL10" s="575" t="s">
        <v>437</v>
      </c>
      <c r="DM10" s="120">
        <f>DATE($A$1,DO10,DQ10)</f>
        <v>44416</v>
      </c>
      <c r="DN10" s="684" t="s">
        <v>489</v>
      </c>
      <c r="DO10" s="51">
        <f>祝日表!B12</f>
        <v>8</v>
      </c>
      <c r="DP10" s="685" t="s">
        <v>425</v>
      </c>
      <c r="DQ10" s="51">
        <f>祝日表!D12</f>
        <v>8</v>
      </c>
      <c r="DR10" s="686" t="s">
        <v>426</v>
      </c>
      <c r="DS10" s="144"/>
      <c r="DT10" s="58">
        <v>13</v>
      </c>
      <c r="DU10" s="120">
        <f t="shared" si="24"/>
        <v>44209</v>
      </c>
      <c r="DV10" s="51">
        <f t="shared" si="25"/>
        <v>4</v>
      </c>
      <c r="DW10" s="122" t="s">
        <v>586</v>
      </c>
      <c r="DX10" s="152"/>
      <c r="DY10" s="139">
        <f t="shared" si="2"/>
        <v>0</v>
      </c>
      <c r="DZ10" s="119">
        <f t="shared" si="26"/>
        <v>0</v>
      </c>
      <c r="EA10" s="51">
        <f t="shared" si="27"/>
        <v>0</v>
      </c>
      <c r="EB10" s="144"/>
      <c r="EC10" s="51">
        <f t="shared" si="28"/>
        <v>1</v>
      </c>
      <c r="ED10" s="144"/>
      <c r="EE10" s="622"/>
      <c r="EF10" s="558" t="s">
        <v>587</v>
      </c>
      <c r="EG10" s="545"/>
      <c r="EH10" s="545"/>
      <c r="EI10" s="229"/>
      <c r="EJ10" s="229"/>
    </row>
    <row r="11" spans="1:140" ht="15" customHeight="1">
      <c r="A11" s="428">
        <f t="shared" si="29"/>
        <v>44404</v>
      </c>
      <c r="B11" s="132" t="str">
        <f t="shared" si="30"/>
        <v>火</v>
      </c>
      <c r="C11" s="129" t="str">
        <f t="shared" si="3"/>
        <v/>
      </c>
      <c r="D11" s="240">
        <v>0.35416666666666669</v>
      </c>
      <c r="E11" s="239">
        <f t="shared" si="4"/>
        <v>0.35416666666666663</v>
      </c>
      <c r="F11" s="241">
        <v>0.72916666666666663</v>
      </c>
      <c r="G11" s="239">
        <f t="shared" si="5"/>
        <v>0.72916666666666663</v>
      </c>
      <c r="H11" s="92">
        <f t="shared" si="31"/>
        <v>0.375</v>
      </c>
      <c r="I11" s="93">
        <f t="shared" si="32"/>
        <v>3.125E-2</v>
      </c>
      <c r="J11" s="184">
        <f t="shared" si="6"/>
        <v>0.34375</v>
      </c>
      <c r="K11" s="194">
        <f t="shared" si="7"/>
        <v>0</v>
      </c>
      <c r="L11" s="357">
        <f t="shared" si="8"/>
        <v>0.35416666666666663</v>
      </c>
      <c r="M11" s="184">
        <f t="shared" si="9"/>
        <v>1.0416666666666685E-2</v>
      </c>
      <c r="N11" s="93">
        <f t="shared" si="1"/>
        <v>0</v>
      </c>
      <c r="O11" s="94">
        <f t="shared" si="10"/>
        <v>1.0416666666666685E-2</v>
      </c>
      <c r="P11" s="225"/>
      <c r="Q11" s="346"/>
      <c r="R11" s="298">
        <f t="shared" si="11"/>
        <v>0</v>
      </c>
      <c r="S11" s="138">
        <f t="shared" si="12"/>
        <v>0</v>
      </c>
      <c r="T11" s="298">
        <f t="shared" si="13"/>
        <v>0</v>
      </c>
      <c r="U11" s="298">
        <f t="shared" si="14"/>
        <v>0</v>
      </c>
      <c r="V11" s="298">
        <f t="shared" si="15"/>
        <v>0</v>
      </c>
      <c r="W11" s="138">
        <f t="shared" si="16"/>
        <v>0</v>
      </c>
      <c r="X11" s="138">
        <f t="shared" si="17"/>
        <v>0</v>
      </c>
      <c r="Y11" s="138">
        <f t="shared" si="18"/>
        <v>0</v>
      </c>
      <c r="Z11" s="138">
        <f t="shared" si="19"/>
        <v>0</v>
      </c>
      <c r="AA11" s="138">
        <f>IF(Q11="夏季休暇",1,0)</f>
        <v>0</v>
      </c>
      <c r="AB11" s="138">
        <f t="shared" si="21"/>
        <v>0</v>
      </c>
      <c r="AC11" s="138">
        <f t="shared" si="22"/>
        <v>0</v>
      </c>
      <c r="AD11" s="138">
        <f t="shared" si="23"/>
        <v>0</v>
      </c>
      <c r="AE11" s="342"/>
      <c r="AF11" s="544"/>
      <c r="AG11" s="124">
        <f t="shared" si="33"/>
        <v>0.54166666666666663</v>
      </c>
      <c r="AH11" s="125">
        <f t="shared" si="34"/>
        <v>0.57291666666666663</v>
      </c>
      <c r="AI11" s="95" t="b">
        <f t="shared" si="35"/>
        <v>0</v>
      </c>
      <c r="AJ11" s="96" t="b">
        <f t="shared" si="36"/>
        <v>0</v>
      </c>
      <c r="AK11" s="97">
        <f t="shared" si="37"/>
        <v>3.125E-2</v>
      </c>
      <c r="AL11" s="98">
        <f t="shared" si="38"/>
        <v>3.125E-2</v>
      </c>
      <c r="AM11" s="682">
        <f t="shared" si="39"/>
        <v>0</v>
      </c>
      <c r="AN11" s="99">
        <f t="shared" si="40"/>
        <v>1</v>
      </c>
      <c r="AO11" s="100">
        <f t="shared" si="41"/>
        <v>1</v>
      </c>
      <c r="AP11" s="101" t="b">
        <f t="shared" si="42"/>
        <v>1</v>
      </c>
      <c r="AQ11" s="99">
        <f t="shared" si="43"/>
        <v>1</v>
      </c>
      <c r="AR11" s="100">
        <f t="shared" si="44"/>
        <v>1</v>
      </c>
      <c r="AS11" s="101" t="b">
        <f t="shared" si="45"/>
        <v>1</v>
      </c>
      <c r="AT11" s="102">
        <f t="shared" si="46"/>
        <v>3.125E-2</v>
      </c>
      <c r="AU11" s="682">
        <f t="shared" si="47"/>
        <v>0</v>
      </c>
      <c r="AV11" s="124">
        <f t="shared" si="48"/>
        <v>0.875</v>
      </c>
      <c r="AW11" s="125">
        <f t="shared" si="49"/>
        <v>0.89583333333333337</v>
      </c>
      <c r="AX11" s="95" t="b">
        <f t="shared" si="50"/>
        <v>0</v>
      </c>
      <c r="AY11" s="96" t="b">
        <f t="shared" si="51"/>
        <v>0</v>
      </c>
      <c r="AZ11" s="97">
        <f t="shared" si="52"/>
        <v>2.083333333333337E-2</v>
      </c>
      <c r="BA11" s="98">
        <f t="shared" si="53"/>
        <v>2.083333333333337E-2</v>
      </c>
      <c r="BB11" s="682">
        <f t="shared" si="54"/>
        <v>0</v>
      </c>
      <c r="BC11" s="99">
        <f t="shared" si="55"/>
        <v>1</v>
      </c>
      <c r="BD11" s="100">
        <f t="shared" si="56"/>
        <v>0</v>
      </c>
      <c r="BE11" s="101" t="b">
        <f t="shared" si="57"/>
        <v>0</v>
      </c>
      <c r="BF11" s="99">
        <f t="shared" si="58"/>
        <v>1</v>
      </c>
      <c r="BG11" s="100">
        <f t="shared" si="59"/>
        <v>0</v>
      </c>
      <c r="BH11" s="101" t="b">
        <f t="shared" si="60"/>
        <v>0</v>
      </c>
      <c r="BI11" s="102">
        <f t="shared" si="61"/>
        <v>0</v>
      </c>
      <c r="BJ11" s="682">
        <f t="shared" si="62"/>
        <v>0</v>
      </c>
      <c r="BK11" s="124">
        <f t="shared" si="63"/>
        <v>0</v>
      </c>
      <c r="BL11" s="125">
        <f t="shared" si="64"/>
        <v>0</v>
      </c>
      <c r="BM11" s="95" t="b">
        <f t="shared" si="65"/>
        <v>0</v>
      </c>
      <c r="BN11" s="96" t="b">
        <f t="shared" si="66"/>
        <v>0</v>
      </c>
      <c r="BO11" s="97">
        <f t="shared" si="67"/>
        <v>0</v>
      </c>
      <c r="BP11" s="98">
        <f t="shared" si="68"/>
        <v>0</v>
      </c>
      <c r="BQ11" s="682">
        <f t="shared" si="69"/>
        <v>0</v>
      </c>
      <c r="BR11" s="99">
        <f t="shared" si="70"/>
        <v>0</v>
      </c>
      <c r="BS11" s="100">
        <f t="shared" si="71"/>
        <v>1</v>
      </c>
      <c r="BT11" s="101" t="b">
        <f t="shared" si="72"/>
        <v>0</v>
      </c>
      <c r="BU11" s="99">
        <f t="shared" si="73"/>
        <v>0</v>
      </c>
      <c r="BV11" s="100">
        <f t="shared" si="74"/>
        <v>1</v>
      </c>
      <c r="BW11" s="101" t="b">
        <f t="shared" si="75"/>
        <v>0</v>
      </c>
      <c r="BX11" s="102">
        <f t="shared" si="76"/>
        <v>0</v>
      </c>
      <c r="BY11" s="682">
        <f t="shared" si="77"/>
        <v>0</v>
      </c>
      <c r="BZ11" s="124">
        <f t="shared" si="78"/>
        <v>0</v>
      </c>
      <c r="CA11" s="125">
        <f t="shared" si="79"/>
        <v>0</v>
      </c>
      <c r="CB11" s="95" t="b">
        <f t="shared" si="80"/>
        <v>0</v>
      </c>
      <c r="CC11" s="96" t="b">
        <f t="shared" si="81"/>
        <v>0</v>
      </c>
      <c r="CD11" s="97">
        <f t="shared" si="82"/>
        <v>0</v>
      </c>
      <c r="CE11" s="98">
        <f t="shared" si="83"/>
        <v>0</v>
      </c>
      <c r="CF11" s="682">
        <f t="shared" si="84"/>
        <v>0</v>
      </c>
      <c r="CG11" s="99">
        <f t="shared" si="85"/>
        <v>0</v>
      </c>
      <c r="CH11" s="100">
        <f t="shared" si="86"/>
        <v>1</v>
      </c>
      <c r="CI11" s="101" t="b">
        <f t="shared" si="87"/>
        <v>0</v>
      </c>
      <c r="CJ11" s="99">
        <f t="shared" si="88"/>
        <v>0</v>
      </c>
      <c r="CK11" s="100">
        <f t="shared" si="89"/>
        <v>1</v>
      </c>
      <c r="CL11" s="101" t="b">
        <f t="shared" si="90"/>
        <v>0</v>
      </c>
      <c r="CM11" s="102">
        <f t="shared" si="91"/>
        <v>0</v>
      </c>
      <c r="CN11" s="682">
        <f t="shared" si="92"/>
        <v>0</v>
      </c>
      <c r="CO11" s="124">
        <f t="shared" si="93"/>
        <v>0</v>
      </c>
      <c r="CP11" s="125">
        <f t="shared" si="94"/>
        <v>0</v>
      </c>
      <c r="CQ11" s="103" t="b">
        <f t="shared" si="95"/>
        <v>0</v>
      </c>
      <c r="CR11" s="96" t="b">
        <f t="shared" si="96"/>
        <v>0</v>
      </c>
      <c r="CS11" s="97">
        <f t="shared" si="97"/>
        <v>0</v>
      </c>
      <c r="CT11" s="98">
        <f t="shared" si="98"/>
        <v>0</v>
      </c>
      <c r="CU11" s="682">
        <f t="shared" si="99"/>
        <v>0</v>
      </c>
      <c r="CV11" s="99">
        <f t="shared" si="100"/>
        <v>0</v>
      </c>
      <c r="CW11" s="100">
        <f t="shared" si="101"/>
        <v>1</v>
      </c>
      <c r="CX11" s="101" t="b">
        <f t="shared" si="102"/>
        <v>0</v>
      </c>
      <c r="CY11" s="99">
        <f t="shared" si="103"/>
        <v>0</v>
      </c>
      <c r="CZ11" s="100">
        <f t="shared" si="104"/>
        <v>1</v>
      </c>
      <c r="DA11" s="101" t="b">
        <f t="shared" si="105"/>
        <v>0</v>
      </c>
      <c r="DB11" s="102">
        <f t="shared" si="106"/>
        <v>0</v>
      </c>
      <c r="DC11" s="683">
        <f t="shared" si="107"/>
        <v>0</v>
      </c>
      <c r="DD11" s="123">
        <f t="shared" si="108"/>
        <v>3.125E-2</v>
      </c>
      <c r="DE11" s="104">
        <f t="shared" si="109"/>
        <v>0</v>
      </c>
      <c r="DG11" s="58">
        <v>2014</v>
      </c>
      <c r="DH11" s="58">
        <v>10</v>
      </c>
      <c r="DI11" s="144"/>
      <c r="DJ11" s="58" t="s">
        <v>588</v>
      </c>
      <c r="DK11" s="341"/>
      <c r="DL11" s="574" t="s">
        <v>439</v>
      </c>
      <c r="DM11" s="144"/>
      <c r="DN11" s="144"/>
      <c r="DO11" s="144"/>
      <c r="DP11" s="144"/>
      <c r="DQ11" s="144"/>
      <c r="DR11" s="144"/>
      <c r="DS11" s="151"/>
      <c r="DT11" s="58">
        <v>14</v>
      </c>
      <c r="DU11" s="120">
        <f t="shared" si="24"/>
        <v>44210</v>
      </c>
      <c r="DV11" s="51">
        <f t="shared" si="25"/>
        <v>5</v>
      </c>
      <c r="DW11" s="51">
        <f>MATCH(2,DV5:DV11,0)</f>
        <v>4</v>
      </c>
      <c r="DX11" s="152"/>
      <c r="DY11" s="139">
        <f t="shared" si="2"/>
        <v>0</v>
      </c>
      <c r="DZ11" s="119">
        <f t="shared" si="26"/>
        <v>0</v>
      </c>
      <c r="EA11" s="51">
        <f t="shared" si="27"/>
        <v>0</v>
      </c>
      <c r="EB11" s="144"/>
      <c r="EC11" s="51">
        <f t="shared" si="28"/>
        <v>1</v>
      </c>
      <c r="ED11" s="144"/>
      <c r="EE11" s="622"/>
      <c r="EF11" s="558" t="s">
        <v>589</v>
      </c>
      <c r="EG11" s="545"/>
      <c r="EH11" s="545"/>
      <c r="EI11" s="229"/>
      <c r="EJ11" s="229"/>
    </row>
    <row r="12" spans="1:140" ht="15" customHeight="1">
      <c r="A12" s="428">
        <f t="shared" si="29"/>
        <v>44405</v>
      </c>
      <c r="B12" s="132" t="str">
        <f t="shared" si="30"/>
        <v>水</v>
      </c>
      <c r="C12" s="129" t="str">
        <f t="shared" si="3"/>
        <v/>
      </c>
      <c r="D12" s="240">
        <v>0.35416666666666669</v>
      </c>
      <c r="E12" s="239">
        <f t="shared" si="4"/>
        <v>0.35416666666666663</v>
      </c>
      <c r="F12" s="241">
        <v>0.72916666666666663</v>
      </c>
      <c r="G12" s="239">
        <f t="shared" si="5"/>
        <v>0.72916666666666663</v>
      </c>
      <c r="H12" s="92">
        <f t="shared" si="31"/>
        <v>0.375</v>
      </c>
      <c r="I12" s="93">
        <f t="shared" si="32"/>
        <v>3.125E-2</v>
      </c>
      <c r="J12" s="184">
        <f t="shared" si="6"/>
        <v>0.34375</v>
      </c>
      <c r="K12" s="194">
        <f t="shared" si="7"/>
        <v>0</v>
      </c>
      <c r="L12" s="357">
        <f t="shared" si="8"/>
        <v>0.35416666666666663</v>
      </c>
      <c r="M12" s="184">
        <f t="shared" si="9"/>
        <v>1.0416666666666685E-2</v>
      </c>
      <c r="N12" s="93">
        <f t="shared" si="1"/>
        <v>0</v>
      </c>
      <c r="O12" s="94">
        <f t="shared" si="10"/>
        <v>1.0416666666666685E-2</v>
      </c>
      <c r="P12" s="225"/>
      <c r="Q12" s="564"/>
      <c r="R12" s="298">
        <f t="shared" si="11"/>
        <v>0</v>
      </c>
      <c r="S12" s="138">
        <f t="shared" si="12"/>
        <v>0</v>
      </c>
      <c r="T12" s="298">
        <f t="shared" si="13"/>
        <v>0</v>
      </c>
      <c r="U12" s="298">
        <f t="shared" si="14"/>
        <v>0</v>
      </c>
      <c r="V12" s="298">
        <f t="shared" si="15"/>
        <v>0</v>
      </c>
      <c r="W12" s="138">
        <f t="shared" si="16"/>
        <v>0</v>
      </c>
      <c r="X12" s="138">
        <f t="shared" si="17"/>
        <v>0</v>
      </c>
      <c r="Y12" s="138">
        <f t="shared" si="18"/>
        <v>0</v>
      </c>
      <c r="Z12" s="138">
        <f t="shared" si="19"/>
        <v>0</v>
      </c>
      <c r="AA12" s="138">
        <f t="shared" si="20"/>
        <v>0</v>
      </c>
      <c r="AB12" s="138">
        <f t="shared" si="21"/>
        <v>0</v>
      </c>
      <c r="AC12" s="138">
        <f t="shared" si="22"/>
        <v>0</v>
      </c>
      <c r="AD12" s="138">
        <f t="shared" si="23"/>
        <v>0</v>
      </c>
      <c r="AE12" s="342"/>
      <c r="AF12" s="544"/>
      <c r="AG12" s="124">
        <f t="shared" si="33"/>
        <v>0.54166666666666663</v>
      </c>
      <c r="AH12" s="125">
        <f t="shared" si="34"/>
        <v>0.57291666666666663</v>
      </c>
      <c r="AI12" s="95" t="b">
        <f t="shared" si="35"/>
        <v>0</v>
      </c>
      <c r="AJ12" s="96" t="b">
        <f t="shared" si="36"/>
        <v>0</v>
      </c>
      <c r="AK12" s="97">
        <f t="shared" si="37"/>
        <v>3.125E-2</v>
      </c>
      <c r="AL12" s="98">
        <f t="shared" si="38"/>
        <v>3.125E-2</v>
      </c>
      <c r="AM12" s="682">
        <f t="shared" si="39"/>
        <v>0</v>
      </c>
      <c r="AN12" s="99">
        <f t="shared" si="40"/>
        <v>1</v>
      </c>
      <c r="AO12" s="100">
        <f t="shared" si="41"/>
        <v>1</v>
      </c>
      <c r="AP12" s="101" t="b">
        <f t="shared" si="42"/>
        <v>1</v>
      </c>
      <c r="AQ12" s="99">
        <f t="shared" si="43"/>
        <v>1</v>
      </c>
      <c r="AR12" s="100">
        <f t="shared" si="44"/>
        <v>1</v>
      </c>
      <c r="AS12" s="101" t="b">
        <f t="shared" si="45"/>
        <v>1</v>
      </c>
      <c r="AT12" s="102">
        <f t="shared" si="46"/>
        <v>3.125E-2</v>
      </c>
      <c r="AU12" s="682">
        <f t="shared" si="47"/>
        <v>0</v>
      </c>
      <c r="AV12" s="124">
        <f t="shared" si="48"/>
        <v>0.875</v>
      </c>
      <c r="AW12" s="125">
        <f t="shared" si="49"/>
        <v>0.89583333333333337</v>
      </c>
      <c r="AX12" s="95" t="b">
        <f t="shared" si="50"/>
        <v>0</v>
      </c>
      <c r="AY12" s="96" t="b">
        <f t="shared" si="51"/>
        <v>0</v>
      </c>
      <c r="AZ12" s="97">
        <f t="shared" si="52"/>
        <v>2.083333333333337E-2</v>
      </c>
      <c r="BA12" s="98">
        <f t="shared" si="53"/>
        <v>2.083333333333337E-2</v>
      </c>
      <c r="BB12" s="682">
        <f t="shared" si="54"/>
        <v>0</v>
      </c>
      <c r="BC12" s="99">
        <f t="shared" si="55"/>
        <v>1</v>
      </c>
      <c r="BD12" s="100">
        <f t="shared" si="56"/>
        <v>0</v>
      </c>
      <c r="BE12" s="101" t="b">
        <f t="shared" si="57"/>
        <v>0</v>
      </c>
      <c r="BF12" s="99">
        <f t="shared" si="58"/>
        <v>1</v>
      </c>
      <c r="BG12" s="100">
        <f t="shared" si="59"/>
        <v>0</v>
      </c>
      <c r="BH12" s="101" t="b">
        <f t="shared" si="60"/>
        <v>0</v>
      </c>
      <c r="BI12" s="102">
        <f t="shared" si="61"/>
        <v>0</v>
      </c>
      <c r="BJ12" s="682">
        <f t="shared" si="62"/>
        <v>0</v>
      </c>
      <c r="BK12" s="124">
        <f t="shared" si="63"/>
        <v>0</v>
      </c>
      <c r="BL12" s="125">
        <f t="shared" si="64"/>
        <v>0</v>
      </c>
      <c r="BM12" s="95" t="b">
        <f t="shared" si="65"/>
        <v>0</v>
      </c>
      <c r="BN12" s="96" t="b">
        <f t="shared" si="66"/>
        <v>0</v>
      </c>
      <c r="BO12" s="97">
        <f t="shared" si="67"/>
        <v>0</v>
      </c>
      <c r="BP12" s="98">
        <f t="shared" si="68"/>
        <v>0</v>
      </c>
      <c r="BQ12" s="682">
        <f t="shared" si="69"/>
        <v>0</v>
      </c>
      <c r="BR12" s="99">
        <f t="shared" si="70"/>
        <v>0</v>
      </c>
      <c r="BS12" s="100">
        <f t="shared" si="71"/>
        <v>1</v>
      </c>
      <c r="BT12" s="101" t="b">
        <f t="shared" si="72"/>
        <v>0</v>
      </c>
      <c r="BU12" s="99">
        <f t="shared" si="73"/>
        <v>0</v>
      </c>
      <c r="BV12" s="100">
        <f t="shared" si="74"/>
        <v>1</v>
      </c>
      <c r="BW12" s="101" t="b">
        <f t="shared" si="75"/>
        <v>0</v>
      </c>
      <c r="BX12" s="102">
        <f t="shared" si="76"/>
        <v>0</v>
      </c>
      <c r="BY12" s="682">
        <f t="shared" si="77"/>
        <v>0</v>
      </c>
      <c r="BZ12" s="124">
        <f t="shared" si="78"/>
        <v>0</v>
      </c>
      <c r="CA12" s="125">
        <f t="shared" si="79"/>
        <v>0</v>
      </c>
      <c r="CB12" s="95" t="b">
        <f t="shared" si="80"/>
        <v>0</v>
      </c>
      <c r="CC12" s="96" t="b">
        <f t="shared" si="81"/>
        <v>0</v>
      </c>
      <c r="CD12" s="97">
        <f t="shared" si="82"/>
        <v>0</v>
      </c>
      <c r="CE12" s="98">
        <f t="shared" si="83"/>
        <v>0</v>
      </c>
      <c r="CF12" s="682">
        <f t="shared" si="84"/>
        <v>0</v>
      </c>
      <c r="CG12" s="99">
        <f t="shared" si="85"/>
        <v>0</v>
      </c>
      <c r="CH12" s="100">
        <f t="shared" si="86"/>
        <v>1</v>
      </c>
      <c r="CI12" s="101" t="b">
        <f t="shared" si="87"/>
        <v>0</v>
      </c>
      <c r="CJ12" s="99">
        <f t="shared" si="88"/>
        <v>0</v>
      </c>
      <c r="CK12" s="100">
        <f t="shared" si="89"/>
        <v>1</v>
      </c>
      <c r="CL12" s="101" t="b">
        <f t="shared" si="90"/>
        <v>0</v>
      </c>
      <c r="CM12" s="102">
        <f t="shared" si="91"/>
        <v>0</v>
      </c>
      <c r="CN12" s="682">
        <f t="shared" si="92"/>
        <v>0</v>
      </c>
      <c r="CO12" s="124">
        <f t="shared" si="93"/>
        <v>0</v>
      </c>
      <c r="CP12" s="125">
        <f t="shared" si="94"/>
        <v>0</v>
      </c>
      <c r="CQ12" s="103" t="b">
        <f t="shared" si="95"/>
        <v>0</v>
      </c>
      <c r="CR12" s="96" t="b">
        <f t="shared" si="96"/>
        <v>0</v>
      </c>
      <c r="CS12" s="97">
        <f t="shared" si="97"/>
        <v>0</v>
      </c>
      <c r="CT12" s="98">
        <f t="shared" si="98"/>
        <v>0</v>
      </c>
      <c r="CU12" s="682">
        <f t="shared" si="99"/>
        <v>0</v>
      </c>
      <c r="CV12" s="99">
        <f t="shared" si="100"/>
        <v>0</v>
      </c>
      <c r="CW12" s="100">
        <f t="shared" si="101"/>
        <v>1</v>
      </c>
      <c r="CX12" s="101" t="b">
        <f t="shared" si="102"/>
        <v>0</v>
      </c>
      <c r="CY12" s="99">
        <f t="shared" si="103"/>
        <v>0</v>
      </c>
      <c r="CZ12" s="100">
        <f t="shared" si="104"/>
        <v>1</v>
      </c>
      <c r="DA12" s="101" t="b">
        <f t="shared" si="105"/>
        <v>0</v>
      </c>
      <c r="DB12" s="102">
        <f t="shared" si="106"/>
        <v>0</v>
      </c>
      <c r="DC12" s="683">
        <f t="shared" si="107"/>
        <v>0</v>
      </c>
      <c r="DD12" s="123">
        <f t="shared" si="108"/>
        <v>3.125E-2</v>
      </c>
      <c r="DE12" s="104">
        <f t="shared" si="109"/>
        <v>0</v>
      </c>
      <c r="DG12" s="58">
        <v>2015</v>
      </c>
      <c r="DH12" s="58">
        <v>11</v>
      </c>
      <c r="DI12" s="144"/>
      <c r="DJ12" s="350" t="s">
        <v>551</v>
      </c>
      <c r="DK12" s="341"/>
      <c r="DL12" s="117" t="s">
        <v>440</v>
      </c>
      <c r="DM12" s="120">
        <f>INDEX(DU5:DU11,DW11)</f>
        <v>44207</v>
      </c>
      <c r="DN12" s="147"/>
      <c r="DO12" s="147"/>
      <c r="DP12" s="147"/>
      <c r="DQ12" s="147"/>
      <c r="DR12" s="147"/>
      <c r="DS12" s="151"/>
      <c r="DT12" s="165" t="s">
        <v>442</v>
      </c>
      <c r="DU12" s="167"/>
      <c r="DV12" s="152"/>
      <c r="DW12" s="144"/>
      <c r="DX12" s="152"/>
      <c r="DY12" s="139">
        <f t="shared" si="2"/>
        <v>0</v>
      </c>
      <c r="DZ12" s="119">
        <f t="shared" si="26"/>
        <v>0</v>
      </c>
      <c r="EA12" s="51">
        <f t="shared" si="27"/>
        <v>0</v>
      </c>
      <c r="EB12" s="144"/>
      <c r="EC12" s="51">
        <f>IF(L12&gt;0.000001,1,0)</f>
        <v>1</v>
      </c>
      <c r="ED12" s="144"/>
      <c r="EE12" s="622"/>
      <c r="EF12" s="558" t="s">
        <v>589</v>
      </c>
      <c r="EG12" s="545"/>
      <c r="EH12" s="545"/>
      <c r="EI12" s="229"/>
      <c r="EJ12" s="229"/>
    </row>
    <row r="13" spans="1:140" ht="15" customHeight="1">
      <c r="A13" s="428">
        <f t="shared" si="29"/>
        <v>44406</v>
      </c>
      <c r="B13" s="132" t="str">
        <f t="shared" si="30"/>
        <v>木</v>
      </c>
      <c r="C13" s="129" t="str">
        <f t="shared" si="3"/>
        <v/>
      </c>
      <c r="D13" s="240">
        <v>0.35416666666666669</v>
      </c>
      <c r="E13" s="239">
        <f t="shared" si="4"/>
        <v>0.35416666666666663</v>
      </c>
      <c r="F13" s="241">
        <v>0.74305555555555547</v>
      </c>
      <c r="G13" s="239">
        <f t="shared" si="5"/>
        <v>0.73958333333333326</v>
      </c>
      <c r="H13" s="92">
        <f t="shared" si="31"/>
        <v>0.38541666666666663</v>
      </c>
      <c r="I13" s="93">
        <f t="shared" si="32"/>
        <v>3.125E-2</v>
      </c>
      <c r="J13" s="184">
        <f t="shared" si="6"/>
        <v>0.35416666666666663</v>
      </c>
      <c r="K13" s="194">
        <f t="shared" si="7"/>
        <v>0</v>
      </c>
      <c r="L13" s="357">
        <f t="shared" si="8"/>
        <v>0.35416666666666663</v>
      </c>
      <c r="M13" s="184">
        <f t="shared" si="9"/>
        <v>2.0833333333333315E-2</v>
      </c>
      <c r="N13" s="93">
        <f t="shared" si="1"/>
        <v>0</v>
      </c>
      <c r="O13" s="94">
        <f t="shared" si="10"/>
        <v>2.0833333333333315E-2</v>
      </c>
      <c r="P13" s="225"/>
      <c r="Q13" s="564"/>
      <c r="R13" s="298">
        <f t="shared" si="11"/>
        <v>0</v>
      </c>
      <c r="S13" s="138">
        <f t="shared" si="12"/>
        <v>0</v>
      </c>
      <c r="T13" s="298">
        <f t="shared" si="13"/>
        <v>0</v>
      </c>
      <c r="U13" s="298">
        <f t="shared" si="14"/>
        <v>0</v>
      </c>
      <c r="V13" s="298">
        <f t="shared" si="15"/>
        <v>0</v>
      </c>
      <c r="W13" s="138">
        <f t="shared" si="16"/>
        <v>0</v>
      </c>
      <c r="X13" s="138">
        <f t="shared" si="17"/>
        <v>0</v>
      </c>
      <c r="Y13" s="138">
        <f t="shared" si="18"/>
        <v>0</v>
      </c>
      <c r="Z13" s="138">
        <f t="shared" si="19"/>
        <v>0</v>
      </c>
      <c r="AA13" s="138">
        <f t="shared" si="20"/>
        <v>0</v>
      </c>
      <c r="AB13" s="138">
        <f t="shared" si="21"/>
        <v>0</v>
      </c>
      <c r="AC13" s="138">
        <f t="shared" si="22"/>
        <v>0</v>
      </c>
      <c r="AD13" s="138">
        <f t="shared" si="23"/>
        <v>0</v>
      </c>
      <c r="AE13" s="342"/>
      <c r="AF13" s="544"/>
      <c r="AG13" s="124">
        <f t="shared" si="33"/>
        <v>0.54166666666666663</v>
      </c>
      <c r="AH13" s="125">
        <f t="shared" si="34"/>
        <v>0.57291666666666663</v>
      </c>
      <c r="AI13" s="95" t="b">
        <f t="shared" si="35"/>
        <v>0</v>
      </c>
      <c r="AJ13" s="96" t="b">
        <f t="shared" si="36"/>
        <v>0</v>
      </c>
      <c r="AK13" s="97">
        <f t="shared" si="37"/>
        <v>3.125E-2</v>
      </c>
      <c r="AL13" s="98">
        <f t="shared" si="38"/>
        <v>3.125E-2</v>
      </c>
      <c r="AM13" s="682">
        <f t="shared" si="39"/>
        <v>0</v>
      </c>
      <c r="AN13" s="99">
        <f t="shared" si="40"/>
        <v>1</v>
      </c>
      <c r="AO13" s="100">
        <f t="shared" si="41"/>
        <v>1</v>
      </c>
      <c r="AP13" s="101" t="b">
        <f t="shared" si="42"/>
        <v>1</v>
      </c>
      <c r="AQ13" s="99">
        <f t="shared" si="43"/>
        <v>1</v>
      </c>
      <c r="AR13" s="100">
        <f t="shared" si="44"/>
        <v>1</v>
      </c>
      <c r="AS13" s="101" t="b">
        <f t="shared" si="45"/>
        <v>1</v>
      </c>
      <c r="AT13" s="102">
        <f t="shared" si="46"/>
        <v>3.125E-2</v>
      </c>
      <c r="AU13" s="682">
        <f t="shared" si="47"/>
        <v>0</v>
      </c>
      <c r="AV13" s="124">
        <f t="shared" si="48"/>
        <v>0.875</v>
      </c>
      <c r="AW13" s="125">
        <f t="shared" si="49"/>
        <v>0.89583333333333337</v>
      </c>
      <c r="AX13" s="95" t="b">
        <f t="shared" si="50"/>
        <v>0</v>
      </c>
      <c r="AY13" s="96" t="b">
        <f t="shared" si="51"/>
        <v>0</v>
      </c>
      <c r="AZ13" s="97">
        <f t="shared" si="52"/>
        <v>2.083333333333337E-2</v>
      </c>
      <c r="BA13" s="98">
        <f t="shared" si="53"/>
        <v>2.083333333333337E-2</v>
      </c>
      <c r="BB13" s="682">
        <f t="shared" si="54"/>
        <v>0</v>
      </c>
      <c r="BC13" s="99">
        <f t="shared" si="55"/>
        <v>1</v>
      </c>
      <c r="BD13" s="100">
        <f t="shared" si="56"/>
        <v>0</v>
      </c>
      <c r="BE13" s="101" t="b">
        <f t="shared" si="57"/>
        <v>0</v>
      </c>
      <c r="BF13" s="99">
        <f t="shared" si="58"/>
        <v>1</v>
      </c>
      <c r="BG13" s="100">
        <f t="shared" si="59"/>
        <v>0</v>
      </c>
      <c r="BH13" s="101" t="b">
        <f t="shared" si="60"/>
        <v>0</v>
      </c>
      <c r="BI13" s="102">
        <f t="shared" si="61"/>
        <v>0</v>
      </c>
      <c r="BJ13" s="682">
        <f t="shared" si="62"/>
        <v>0</v>
      </c>
      <c r="BK13" s="124">
        <f t="shared" si="63"/>
        <v>0</v>
      </c>
      <c r="BL13" s="125">
        <f t="shared" si="64"/>
        <v>0</v>
      </c>
      <c r="BM13" s="95" t="b">
        <f t="shared" si="65"/>
        <v>0</v>
      </c>
      <c r="BN13" s="96" t="b">
        <f t="shared" si="66"/>
        <v>0</v>
      </c>
      <c r="BO13" s="97">
        <f t="shared" si="67"/>
        <v>0</v>
      </c>
      <c r="BP13" s="98">
        <f t="shared" si="68"/>
        <v>0</v>
      </c>
      <c r="BQ13" s="682">
        <f t="shared" si="69"/>
        <v>0</v>
      </c>
      <c r="BR13" s="99">
        <f t="shared" si="70"/>
        <v>0</v>
      </c>
      <c r="BS13" s="100">
        <f t="shared" si="71"/>
        <v>1</v>
      </c>
      <c r="BT13" s="101" t="b">
        <f t="shared" si="72"/>
        <v>0</v>
      </c>
      <c r="BU13" s="99">
        <f t="shared" si="73"/>
        <v>0</v>
      </c>
      <c r="BV13" s="100">
        <f t="shared" si="74"/>
        <v>1</v>
      </c>
      <c r="BW13" s="101" t="b">
        <f t="shared" si="75"/>
        <v>0</v>
      </c>
      <c r="BX13" s="102">
        <f t="shared" si="76"/>
        <v>0</v>
      </c>
      <c r="BY13" s="682">
        <f t="shared" si="77"/>
        <v>0</v>
      </c>
      <c r="BZ13" s="124">
        <f t="shared" si="78"/>
        <v>0</v>
      </c>
      <c r="CA13" s="125">
        <f t="shared" si="79"/>
        <v>0</v>
      </c>
      <c r="CB13" s="95" t="b">
        <f t="shared" si="80"/>
        <v>0</v>
      </c>
      <c r="CC13" s="96" t="b">
        <f t="shared" si="81"/>
        <v>0</v>
      </c>
      <c r="CD13" s="97">
        <f t="shared" si="82"/>
        <v>0</v>
      </c>
      <c r="CE13" s="98">
        <f t="shared" si="83"/>
        <v>0</v>
      </c>
      <c r="CF13" s="682">
        <f t="shared" si="84"/>
        <v>0</v>
      </c>
      <c r="CG13" s="99">
        <f t="shared" si="85"/>
        <v>0</v>
      </c>
      <c r="CH13" s="100">
        <f t="shared" si="86"/>
        <v>1</v>
      </c>
      <c r="CI13" s="101" t="b">
        <f t="shared" si="87"/>
        <v>0</v>
      </c>
      <c r="CJ13" s="99">
        <f t="shared" si="88"/>
        <v>0</v>
      </c>
      <c r="CK13" s="100">
        <f t="shared" si="89"/>
        <v>1</v>
      </c>
      <c r="CL13" s="101" t="b">
        <f t="shared" si="90"/>
        <v>0</v>
      </c>
      <c r="CM13" s="102">
        <f t="shared" si="91"/>
        <v>0</v>
      </c>
      <c r="CN13" s="682">
        <f t="shared" si="92"/>
        <v>0</v>
      </c>
      <c r="CO13" s="124">
        <f t="shared" si="93"/>
        <v>0</v>
      </c>
      <c r="CP13" s="125">
        <f t="shared" si="94"/>
        <v>0</v>
      </c>
      <c r="CQ13" s="103" t="b">
        <f t="shared" si="95"/>
        <v>0</v>
      </c>
      <c r="CR13" s="96" t="b">
        <f t="shared" si="96"/>
        <v>0</v>
      </c>
      <c r="CS13" s="97">
        <f t="shared" si="97"/>
        <v>0</v>
      </c>
      <c r="CT13" s="98">
        <f t="shared" si="98"/>
        <v>0</v>
      </c>
      <c r="CU13" s="682">
        <f t="shared" si="99"/>
        <v>0</v>
      </c>
      <c r="CV13" s="99">
        <f t="shared" si="100"/>
        <v>0</v>
      </c>
      <c r="CW13" s="100">
        <f t="shared" si="101"/>
        <v>1</v>
      </c>
      <c r="CX13" s="101" t="b">
        <f t="shared" si="102"/>
        <v>0</v>
      </c>
      <c r="CY13" s="99">
        <f t="shared" si="103"/>
        <v>0</v>
      </c>
      <c r="CZ13" s="100">
        <f t="shared" si="104"/>
        <v>1</v>
      </c>
      <c r="DA13" s="101" t="b">
        <f t="shared" si="105"/>
        <v>0</v>
      </c>
      <c r="DB13" s="102">
        <f t="shared" si="106"/>
        <v>0</v>
      </c>
      <c r="DC13" s="683">
        <f t="shared" si="107"/>
        <v>0</v>
      </c>
      <c r="DD13" s="123">
        <f t="shared" si="108"/>
        <v>3.125E-2</v>
      </c>
      <c r="DE13" s="104">
        <f t="shared" si="109"/>
        <v>0</v>
      </c>
      <c r="DG13" s="58">
        <v>2016</v>
      </c>
      <c r="DH13" s="58">
        <v>12</v>
      </c>
      <c r="DI13" s="144"/>
      <c r="DJ13" s="351" t="s">
        <v>552</v>
      </c>
      <c r="DK13" s="341"/>
      <c r="DL13" s="627" t="s">
        <v>444</v>
      </c>
      <c r="DM13" s="649"/>
      <c r="DN13" s="163"/>
      <c r="DO13" s="163"/>
      <c r="DP13" s="163"/>
      <c r="DQ13" s="163"/>
      <c r="DR13" s="163"/>
      <c r="DS13" s="164"/>
      <c r="DT13" s="166">
        <f>INDEX(DU5:DU11,DW11)</f>
        <v>44207</v>
      </c>
      <c r="DU13" s="168"/>
      <c r="DV13" s="152"/>
      <c r="DW13" s="144"/>
      <c r="DX13" s="152"/>
      <c r="DY13" s="139">
        <f t="shared" si="2"/>
        <v>0</v>
      </c>
      <c r="DZ13" s="119">
        <f t="shared" si="26"/>
        <v>0</v>
      </c>
      <c r="EA13" s="51">
        <f t="shared" si="27"/>
        <v>0</v>
      </c>
      <c r="EB13" s="144"/>
      <c r="EC13" s="51">
        <f t="shared" si="28"/>
        <v>1</v>
      </c>
      <c r="ED13" s="144"/>
      <c r="EE13" s="622"/>
      <c r="EF13" s="558" t="s">
        <v>589</v>
      </c>
      <c r="EG13" s="545"/>
      <c r="EH13" s="545"/>
    </row>
    <row r="14" spans="1:140" ht="15" customHeight="1">
      <c r="A14" s="428">
        <f t="shared" si="29"/>
        <v>44407</v>
      </c>
      <c r="B14" s="132" t="str">
        <f t="shared" si="30"/>
        <v>金</v>
      </c>
      <c r="C14" s="129" t="str">
        <f t="shared" si="3"/>
        <v/>
      </c>
      <c r="D14" s="240">
        <v>0.35416666666666669</v>
      </c>
      <c r="E14" s="239">
        <f t="shared" si="4"/>
        <v>0.35416666666666663</v>
      </c>
      <c r="F14" s="241">
        <v>0.71875</v>
      </c>
      <c r="G14" s="239">
        <f t="shared" si="5"/>
        <v>0.71875</v>
      </c>
      <c r="H14" s="92">
        <f t="shared" si="31"/>
        <v>0.36458333333333337</v>
      </c>
      <c r="I14" s="93">
        <f t="shared" si="32"/>
        <v>3.125E-2</v>
      </c>
      <c r="J14" s="184">
        <f t="shared" si="6"/>
        <v>0.33333333333333331</v>
      </c>
      <c r="K14" s="194">
        <f t="shared" si="7"/>
        <v>0</v>
      </c>
      <c r="L14" s="357">
        <f t="shared" si="8"/>
        <v>0.35416666666666663</v>
      </c>
      <c r="M14" s="184">
        <f t="shared" si="9"/>
        <v>0</v>
      </c>
      <c r="N14" s="93">
        <f t="shared" si="1"/>
        <v>0</v>
      </c>
      <c r="O14" s="94">
        <f t="shared" si="10"/>
        <v>0</v>
      </c>
      <c r="P14" s="225"/>
      <c r="Q14" s="564"/>
      <c r="R14" s="298">
        <f t="shared" si="11"/>
        <v>0</v>
      </c>
      <c r="S14" s="138">
        <f t="shared" si="12"/>
        <v>0</v>
      </c>
      <c r="T14" s="298">
        <f t="shared" si="13"/>
        <v>0</v>
      </c>
      <c r="U14" s="298">
        <f t="shared" si="14"/>
        <v>0</v>
      </c>
      <c r="V14" s="298">
        <f t="shared" si="15"/>
        <v>0</v>
      </c>
      <c r="W14" s="138">
        <f t="shared" si="16"/>
        <v>0</v>
      </c>
      <c r="X14" s="138">
        <f t="shared" si="17"/>
        <v>0</v>
      </c>
      <c r="Y14" s="138">
        <f t="shared" si="18"/>
        <v>0</v>
      </c>
      <c r="Z14" s="138">
        <f t="shared" si="19"/>
        <v>0</v>
      </c>
      <c r="AA14" s="138">
        <f t="shared" si="20"/>
        <v>0</v>
      </c>
      <c r="AB14" s="138">
        <f t="shared" si="21"/>
        <v>0</v>
      </c>
      <c r="AC14" s="138">
        <f t="shared" si="22"/>
        <v>0</v>
      </c>
      <c r="AD14" s="138">
        <f t="shared" si="23"/>
        <v>0</v>
      </c>
      <c r="AE14" s="342"/>
      <c r="AF14" s="544"/>
      <c r="AG14" s="124">
        <f t="shared" si="33"/>
        <v>0.54166666666666663</v>
      </c>
      <c r="AH14" s="125">
        <f t="shared" si="34"/>
        <v>0.57291666666666663</v>
      </c>
      <c r="AI14" s="95" t="b">
        <f t="shared" si="35"/>
        <v>0</v>
      </c>
      <c r="AJ14" s="96" t="b">
        <f t="shared" si="36"/>
        <v>0</v>
      </c>
      <c r="AK14" s="97">
        <f t="shared" si="37"/>
        <v>3.125E-2</v>
      </c>
      <c r="AL14" s="98">
        <f t="shared" si="38"/>
        <v>3.125E-2</v>
      </c>
      <c r="AM14" s="682">
        <f t="shared" si="39"/>
        <v>0</v>
      </c>
      <c r="AN14" s="99">
        <f t="shared" si="40"/>
        <v>1</v>
      </c>
      <c r="AO14" s="100">
        <f t="shared" si="41"/>
        <v>1</v>
      </c>
      <c r="AP14" s="101" t="b">
        <f t="shared" si="42"/>
        <v>1</v>
      </c>
      <c r="AQ14" s="99">
        <f t="shared" si="43"/>
        <v>1</v>
      </c>
      <c r="AR14" s="100">
        <f t="shared" si="44"/>
        <v>1</v>
      </c>
      <c r="AS14" s="101" t="b">
        <f t="shared" si="45"/>
        <v>1</v>
      </c>
      <c r="AT14" s="102">
        <f t="shared" si="46"/>
        <v>3.125E-2</v>
      </c>
      <c r="AU14" s="682">
        <f t="shared" si="47"/>
        <v>0</v>
      </c>
      <c r="AV14" s="124">
        <f t="shared" si="48"/>
        <v>0.875</v>
      </c>
      <c r="AW14" s="125">
        <f t="shared" si="49"/>
        <v>0.89583333333333337</v>
      </c>
      <c r="AX14" s="95" t="b">
        <f t="shared" si="50"/>
        <v>0</v>
      </c>
      <c r="AY14" s="96" t="b">
        <f t="shared" si="51"/>
        <v>0</v>
      </c>
      <c r="AZ14" s="97">
        <f t="shared" si="52"/>
        <v>2.083333333333337E-2</v>
      </c>
      <c r="BA14" s="98">
        <f t="shared" si="53"/>
        <v>2.083333333333337E-2</v>
      </c>
      <c r="BB14" s="682">
        <f t="shared" si="54"/>
        <v>0</v>
      </c>
      <c r="BC14" s="99">
        <f t="shared" si="55"/>
        <v>1</v>
      </c>
      <c r="BD14" s="100">
        <f t="shared" si="56"/>
        <v>0</v>
      </c>
      <c r="BE14" s="101" t="b">
        <f t="shared" si="57"/>
        <v>0</v>
      </c>
      <c r="BF14" s="99">
        <f t="shared" si="58"/>
        <v>1</v>
      </c>
      <c r="BG14" s="100">
        <f t="shared" si="59"/>
        <v>0</v>
      </c>
      <c r="BH14" s="101" t="b">
        <f t="shared" si="60"/>
        <v>0</v>
      </c>
      <c r="BI14" s="102">
        <f t="shared" si="61"/>
        <v>0</v>
      </c>
      <c r="BJ14" s="682">
        <f t="shared" si="62"/>
        <v>0</v>
      </c>
      <c r="BK14" s="124">
        <f t="shared" si="63"/>
        <v>0</v>
      </c>
      <c r="BL14" s="125">
        <f t="shared" si="64"/>
        <v>0</v>
      </c>
      <c r="BM14" s="95" t="b">
        <f t="shared" si="65"/>
        <v>0</v>
      </c>
      <c r="BN14" s="96" t="b">
        <f t="shared" si="66"/>
        <v>0</v>
      </c>
      <c r="BO14" s="97">
        <f t="shared" si="67"/>
        <v>0</v>
      </c>
      <c r="BP14" s="98">
        <f t="shared" si="68"/>
        <v>0</v>
      </c>
      <c r="BQ14" s="682">
        <f t="shared" si="69"/>
        <v>0</v>
      </c>
      <c r="BR14" s="99">
        <f t="shared" si="70"/>
        <v>0</v>
      </c>
      <c r="BS14" s="100">
        <f t="shared" si="71"/>
        <v>1</v>
      </c>
      <c r="BT14" s="101" t="b">
        <f t="shared" si="72"/>
        <v>0</v>
      </c>
      <c r="BU14" s="99">
        <f t="shared" si="73"/>
        <v>0</v>
      </c>
      <c r="BV14" s="100">
        <f t="shared" si="74"/>
        <v>1</v>
      </c>
      <c r="BW14" s="101" t="b">
        <f t="shared" si="75"/>
        <v>0</v>
      </c>
      <c r="BX14" s="102">
        <f t="shared" si="76"/>
        <v>0</v>
      </c>
      <c r="BY14" s="682">
        <f t="shared" si="77"/>
        <v>0</v>
      </c>
      <c r="BZ14" s="124">
        <f t="shared" si="78"/>
        <v>0</v>
      </c>
      <c r="CA14" s="125">
        <f t="shared" si="79"/>
        <v>0</v>
      </c>
      <c r="CB14" s="95" t="b">
        <f t="shared" si="80"/>
        <v>0</v>
      </c>
      <c r="CC14" s="96" t="b">
        <f t="shared" si="81"/>
        <v>0</v>
      </c>
      <c r="CD14" s="97">
        <f t="shared" si="82"/>
        <v>0</v>
      </c>
      <c r="CE14" s="98">
        <f t="shared" si="83"/>
        <v>0</v>
      </c>
      <c r="CF14" s="682">
        <f t="shared" si="84"/>
        <v>0</v>
      </c>
      <c r="CG14" s="99">
        <f t="shared" si="85"/>
        <v>0</v>
      </c>
      <c r="CH14" s="100">
        <f t="shared" si="86"/>
        <v>1</v>
      </c>
      <c r="CI14" s="101" t="b">
        <f t="shared" si="87"/>
        <v>0</v>
      </c>
      <c r="CJ14" s="99">
        <f t="shared" si="88"/>
        <v>0</v>
      </c>
      <c r="CK14" s="100">
        <f t="shared" si="89"/>
        <v>1</v>
      </c>
      <c r="CL14" s="101" t="b">
        <f t="shared" si="90"/>
        <v>0</v>
      </c>
      <c r="CM14" s="102">
        <f t="shared" si="91"/>
        <v>0</v>
      </c>
      <c r="CN14" s="682">
        <f t="shared" si="92"/>
        <v>0</v>
      </c>
      <c r="CO14" s="124">
        <f t="shared" si="93"/>
        <v>0</v>
      </c>
      <c r="CP14" s="125">
        <f t="shared" si="94"/>
        <v>0</v>
      </c>
      <c r="CQ14" s="103" t="b">
        <f t="shared" si="95"/>
        <v>0</v>
      </c>
      <c r="CR14" s="96" t="b">
        <f t="shared" si="96"/>
        <v>0</v>
      </c>
      <c r="CS14" s="97">
        <f t="shared" si="97"/>
        <v>0</v>
      </c>
      <c r="CT14" s="98">
        <f t="shared" si="98"/>
        <v>0</v>
      </c>
      <c r="CU14" s="682">
        <f t="shared" si="99"/>
        <v>0</v>
      </c>
      <c r="CV14" s="99">
        <f t="shared" si="100"/>
        <v>0</v>
      </c>
      <c r="CW14" s="100">
        <f t="shared" si="101"/>
        <v>1</v>
      </c>
      <c r="CX14" s="101" t="b">
        <f t="shared" si="102"/>
        <v>0</v>
      </c>
      <c r="CY14" s="99">
        <f t="shared" si="103"/>
        <v>0</v>
      </c>
      <c r="CZ14" s="100">
        <f t="shared" si="104"/>
        <v>1</v>
      </c>
      <c r="DA14" s="101" t="b">
        <f t="shared" si="105"/>
        <v>0</v>
      </c>
      <c r="DB14" s="102">
        <f t="shared" si="106"/>
        <v>0</v>
      </c>
      <c r="DC14" s="683">
        <f t="shared" si="107"/>
        <v>0</v>
      </c>
      <c r="DD14" s="123">
        <f t="shared" si="108"/>
        <v>3.125E-2</v>
      </c>
      <c r="DE14" s="104">
        <f t="shared" si="109"/>
        <v>0</v>
      </c>
      <c r="DG14" s="58">
        <v>2017</v>
      </c>
      <c r="DH14" s="144"/>
      <c r="DI14" s="144"/>
      <c r="DJ14" s="351" t="s">
        <v>553</v>
      </c>
      <c r="DK14" s="341"/>
      <c r="DL14" s="117" t="s">
        <v>447</v>
      </c>
      <c r="DM14" s="120">
        <f>INDEX(DU31:DU37,DW37)</f>
        <v>44459</v>
      </c>
      <c r="DN14" s="147"/>
      <c r="DO14" s="147"/>
      <c r="DP14" s="147"/>
      <c r="DQ14" s="147"/>
      <c r="DR14" s="163"/>
      <c r="DS14" s="151"/>
      <c r="DT14" s="144"/>
      <c r="DU14" s="651" t="s">
        <v>590</v>
      </c>
      <c r="DV14" s="628"/>
      <c r="DW14" s="627"/>
      <c r="DX14" s="152"/>
      <c r="DY14" s="139">
        <f t="shared" si="2"/>
        <v>0</v>
      </c>
      <c r="DZ14" s="119">
        <f t="shared" si="26"/>
        <v>0</v>
      </c>
      <c r="EA14" s="51">
        <f t="shared" si="27"/>
        <v>0</v>
      </c>
      <c r="EB14" s="144"/>
      <c r="EC14" s="51">
        <f t="shared" si="28"/>
        <v>1</v>
      </c>
      <c r="ED14" s="144"/>
      <c r="EE14" s="622"/>
      <c r="EF14" s="558" t="s">
        <v>589</v>
      </c>
      <c r="EG14" s="545"/>
      <c r="EH14" s="545"/>
    </row>
    <row r="15" spans="1:140" ht="15" customHeight="1">
      <c r="A15" s="428">
        <f t="shared" si="29"/>
        <v>44408</v>
      </c>
      <c r="B15" s="132" t="str">
        <f t="shared" si="30"/>
        <v>土</v>
      </c>
      <c r="C15" s="129" t="str">
        <f t="shared" si="3"/>
        <v/>
      </c>
      <c r="D15" s="240"/>
      <c r="E15" s="239">
        <f t="shared" si="4"/>
        <v>0</v>
      </c>
      <c r="F15" s="241"/>
      <c r="G15" s="239">
        <f t="shared" si="5"/>
        <v>0</v>
      </c>
      <c r="H15" s="92">
        <f>G15-E15</f>
        <v>0</v>
      </c>
      <c r="I15" s="93">
        <f>DD15</f>
        <v>0</v>
      </c>
      <c r="J15" s="184">
        <f t="shared" si="6"/>
        <v>0</v>
      </c>
      <c r="K15" s="194">
        <f t="shared" si="7"/>
        <v>0</v>
      </c>
      <c r="L15" s="357">
        <f t="shared" si="8"/>
        <v>0</v>
      </c>
      <c r="M15" s="184">
        <f t="shared" si="9"/>
        <v>0</v>
      </c>
      <c r="N15" s="93">
        <f t="shared" si="1"/>
        <v>0</v>
      </c>
      <c r="O15" s="94">
        <f t="shared" si="10"/>
        <v>0</v>
      </c>
      <c r="P15" s="225"/>
      <c r="Q15" s="564"/>
      <c r="R15" s="298">
        <f t="shared" si="11"/>
        <v>0</v>
      </c>
      <c r="S15" s="138">
        <f t="shared" si="12"/>
        <v>0</v>
      </c>
      <c r="T15" s="298">
        <f t="shared" si="13"/>
        <v>0</v>
      </c>
      <c r="U15" s="298">
        <f t="shared" si="14"/>
        <v>0</v>
      </c>
      <c r="V15" s="298">
        <f t="shared" si="15"/>
        <v>0</v>
      </c>
      <c r="W15" s="138">
        <f t="shared" si="16"/>
        <v>0</v>
      </c>
      <c r="X15" s="138">
        <f t="shared" si="17"/>
        <v>0</v>
      </c>
      <c r="Y15" s="138">
        <f t="shared" si="18"/>
        <v>0</v>
      </c>
      <c r="Z15" s="138">
        <f t="shared" si="19"/>
        <v>0</v>
      </c>
      <c r="AA15" s="138">
        <f t="shared" si="20"/>
        <v>0</v>
      </c>
      <c r="AB15" s="138">
        <f t="shared" si="21"/>
        <v>0</v>
      </c>
      <c r="AC15" s="138">
        <f t="shared" si="22"/>
        <v>0</v>
      </c>
      <c r="AD15" s="138">
        <f t="shared" si="23"/>
        <v>0</v>
      </c>
      <c r="AE15" s="342"/>
      <c r="AF15" s="544"/>
      <c r="AG15" s="124">
        <f t="shared" si="33"/>
        <v>0.54166666666666663</v>
      </c>
      <c r="AH15" s="125">
        <f t="shared" si="34"/>
        <v>0.57291666666666663</v>
      </c>
      <c r="AI15" s="95" t="b">
        <f t="shared" si="35"/>
        <v>0</v>
      </c>
      <c r="AJ15" s="96" t="b">
        <f t="shared" si="36"/>
        <v>0</v>
      </c>
      <c r="AK15" s="97">
        <f t="shared" si="37"/>
        <v>3.125E-2</v>
      </c>
      <c r="AL15" s="98">
        <f t="shared" si="38"/>
        <v>3.125E-2</v>
      </c>
      <c r="AM15" s="682">
        <f t="shared" si="39"/>
        <v>0</v>
      </c>
      <c r="AN15" s="99">
        <f t="shared" si="40"/>
        <v>1</v>
      </c>
      <c r="AO15" s="100">
        <f t="shared" si="41"/>
        <v>0</v>
      </c>
      <c r="AP15" s="101" t="b">
        <f t="shared" si="42"/>
        <v>0</v>
      </c>
      <c r="AQ15" s="99">
        <f t="shared" si="43"/>
        <v>1</v>
      </c>
      <c r="AR15" s="100">
        <f t="shared" si="44"/>
        <v>0</v>
      </c>
      <c r="AS15" s="101" t="b">
        <f t="shared" si="45"/>
        <v>0</v>
      </c>
      <c r="AT15" s="102">
        <f t="shared" si="46"/>
        <v>0</v>
      </c>
      <c r="AU15" s="682">
        <f t="shared" si="47"/>
        <v>0</v>
      </c>
      <c r="AV15" s="124">
        <f t="shared" si="48"/>
        <v>0.875</v>
      </c>
      <c r="AW15" s="125">
        <f t="shared" si="49"/>
        <v>0.89583333333333337</v>
      </c>
      <c r="AX15" s="95" t="b">
        <f t="shared" si="50"/>
        <v>0</v>
      </c>
      <c r="AY15" s="96" t="b">
        <f t="shared" si="51"/>
        <v>0</v>
      </c>
      <c r="AZ15" s="97">
        <f t="shared" si="52"/>
        <v>2.083333333333337E-2</v>
      </c>
      <c r="BA15" s="98">
        <f t="shared" si="53"/>
        <v>2.083333333333337E-2</v>
      </c>
      <c r="BB15" s="682">
        <f t="shared" si="54"/>
        <v>0</v>
      </c>
      <c r="BC15" s="99">
        <f t="shared" si="55"/>
        <v>1</v>
      </c>
      <c r="BD15" s="100">
        <f t="shared" si="56"/>
        <v>0</v>
      </c>
      <c r="BE15" s="101" t="b">
        <f t="shared" si="57"/>
        <v>0</v>
      </c>
      <c r="BF15" s="99">
        <f t="shared" si="58"/>
        <v>1</v>
      </c>
      <c r="BG15" s="100">
        <f t="shared" si="59"/>
        <v>0</v>
      </c>
      <c r="BH15" s="101" t="b">
        <f t="shared" si="60"/>
        <v>0</v>
      </c>
      <c r="BI15" s="102">
        <f t="shared" si="61"/>
        <v>0</v>
      </c>
      <c r="BJ15" s="682">
        <f t="shared" si="62"/>
        <v>0</v>
      </c>
      <c r="BK15" s="124">
        <f t="shared" si="63"/>
        <v>0</v>
      </c>
      <c r="BL15" s="125">
        <f t="shared" si="64"/>
        <v>0</v>
      </c>
      <c r="BM15" s="95" t="b">
        <f t="shared" si="65"/>
        <v>0</v>
      </c>
      <c r="BN15" s="96" t="b">
        <f t="shared" si="66"/>
        <v>0</v>
      </c>
      <c r="BO15" s="97">
        <f t="shared" si="67"/>
        <v>0</v>
      </c>
      <c r="BP15" s="98">
        <f t="shared" si="68"/>
        <v>0</v>
      </c>
      <c r="BQ15" s="682">
        <f t="shared" si="69"/>
        <v>0</v>
      </c>
      <c r="BR15" s="99">
        <f t="shared" si="70"/>
        <v>1</v>
      </c>
      <c r="BS15" s="100">
        <f t="shared" si="71"/>
        <v>0</v>
      </c>
      <c r="BT15" s="101" t="b">
        <f t="shared" si="72"/>
        <v>0</v>
      </c>
      <c r="BU15" s="99">
        <f t="shared" si="73"/>
        <v>0</v>
      </c>
      <c r="BV15" s="100">
        <f t="shared" si="74"/>
        <v>1</v>
      </c>
      <c r="BW15" s="101" t="b">
        <f t="shared" si="75"/>
        <v>0</v>
      </c>
      <c r="BX15" s="102">
        <f t="shared" si="76"/>
        <v>0</v>
      </c>
      <c r="BY15" s="682">
        <f t="shared" si="77"/>
        <v>0</v>
      </c>
      <c r="BZ15" s="124">
        <f t="shared" si="78"/>
        <v>0</v>
      </c>
      <c r="CA15" s="125">
        <f t="shared" si="79"/>
        <v>0</v>
      </c>
      <c r="CB15" s="95" t="b">
        <f t="shared" si="80"/>
        <v>0</v>
      </c>
      <c r="CC15" s="96" t="b">
        <f t="shared" si="81"/>
        <v>0</v>
      </c>
      <c r="CD15" s="97">
        <f t="shared" si="82"/>
        <v>0</v>
      </c>
      <c r="CE15" s="98">
        <f t="shared" si="83"/>
        <v>0</v>
      </c>
      <c r="CF15" s="682">
        <f t="shared" si="84"/>
        <v>0</v>
      </c>
      <c r="CG15" s="99">
        <f t="shared" si="85"/>
        <v>1</v>
      </c>
      <c r="CH15" s="100">
        <f t="shared" si="86"/>
        <v>0</v>
      </c>
      <c r="CI15" s="101" t="b">
        <f t="shared" si="87"/>
        <v>0</v>
      </c>
      <c r="CJ15" s="99">
        <f t="shared" si="88"/>
        <v>0</v>
      </c>
      <c r="CK15" s="100">
        <f t="shared" si="89"/>
        <v>1</v>
      </c>
      <c r="CL15" s="101" t="b">
        <f t="shared" si="90"/>
        <v>0</v>
      </c>
      <c r="CM15" s="102">
        <f t="shared" si="91"/>
        <v>0</v>
      </c>
      <c r="CN15" s="682">
        <f t="shared" si="92"/>
        <v>0</v>
      </c>
      <c r="CO15" s="124">
        <f t="shared" si="93"/>
        <v>0</v>
      </c>
      <c r="CP15" s="125">
        <f t="shared" si="94"/>
        <v>0</v>
      </c>
      <c r="CQ15" s="103" t="b">
        <f t="shared" si="95"/>
        <v>0</v>
      </c>
      <c r="CR15" s="96" t="b">
        <f t="shared" si="96"/>
        <v>0</v>
      </c>
      <c r="CS15" s="97">
        <f t="shared" si="97"/>
        <v>0</v>
      </c>
      <c r="CT15" s="98">
        <f t="shared" si="98"/>
        <v>0</v>
      </c>
      <c r="CU15" s="682">
        <f t="shared" si="99"/>
        <v>0</v>
      </c>
      <c r="CV15" s="99">
        <f t="shared" si="100"/>
        <v>1</v>
      </c>
      <c r="CW15" s="100">
        <f t="shared" si="101"/>
        <v>0</v>
      </c>
      <c r="CX15" s="101" t="b">
        <f t="shared" si="102"/>
        <v>0</v>
      </c>
      <c r="CY15" s="99">
        <f t="shared" si="103"/>
        <v>0</v>
      </c>
      <c r="CZ15" s="100">
        <f t="shared" si="104"/>
        <v>1</v>
      </c>
      <c r="DA15" s="101" t="b">
        <f t="shared" si="105"/>
        <v>0</v>
      </c>
      <c r="DB15" s="102">
        <f t="shared" si="106"/>
        <v>0</v>
      </c>
      <c r="DC15" s="683">
        <f t="shared" si="107"/>
        <v>0</v>
      </c>
      <c r="DD15" s="123">
        <f t="shared" si="108"/>
        <v>0</v>
      </c>
      <c r="DE15" s="104">
        <f t="shared" si="109"/>
        <v>0</v>
      </c>
      <c r="DG15" s="58">
        <v>2018</v>
      </c>
      <c r="DH15" s="144"/>
      <c r="DI15" s="144"/>
      <c r="DJ15" s="339" t="s">
        <v>554</v>
      </c>
      <c r="DK15" s="341"/>
      <c r="DL15" s="627" t="s">
        <v>448</v>
      </c>
      <c r="DM15" s="649">
        <f>INDEX(DU44:DU50,DW50)</f>
        <v>44179</v>
      </c>
      <c r="DN15" s="147"/>
      <c r="DO15" s="147"/>
      <c r="DP15" s="147"/>
      <c r="DQ15" s="147"/>
      <c r="DR15" s="163"/>
      <c r="DS15" s="151"/>
      <c r="DT15" s="339" t="s">
        <v>444</v>
      </c>
      <c r="DU15" s="627" t="s">
        <v>591</v>
      </c>
      <c r="DV15" s="628"/>
      <c r="DW15" s="627"/>
      <c r="DX15" s="152"/>
      <c r="DY15" s="139">
        <f t="shared" si="2"/>
        <v>1</v>
      </c>
      <c r="DZ15" s="119">
        <f t="shared" si="26"/>
        <v>0</v>
      </c>
      <c r="EA15" s="51">
        <f t="shared" si="27"/>
        <v>1</v>
      </c>
      <c r="EB15" s="144"/>
      <c r="EC15" s="51">
        <f t="shared" si="28"/>
        <v>0</v>
      </c>
      <c r="ED15" s="144"/>
      <c r="EE15" s="622"/>
      <c r="EF15" s="622"/>
      <c r="EG15" s="622"/>
      <c r="EH15" s="622"/>
    </row>
    <row r="16" spans="1:140" ht="15" customHeight="1">
      <c r="A16" s="428">
        <f t="shared" si="29"/>
        <v>44409</v>
      </c>
      <c r="B16" s="132" t="str">
        <f t="shared" si="30"/>
        <v>日</v>
      </c>
      <c r="C16" s="129" t="str">
        <f t="shared" si="3"/>
        <v/>
      </c>
      <c r="D16" s="240"/>
      <c r="E16" s="239">
        <f t="shared" si="4"/>
        <v>0</v>
      </c>
      <c r="F16" s="241"/>
      <c r="G16" s="239">
        <f t="shared" si="5"/>
        <v>0</v>
      </c>
      <c r="H16" s="92">
        <f t="shared" si="31"/>
        <v>0</v>
      </c>
      <c r="I16" s="93">
        <f t="shared" si="32"/>
        <v>0</v>
      </c>
      <c r="J16" s="184">
        <f t="shared" si="6"/>
        <v>0</v>
      </c>
      <c r="K16" s="194">
        <f t="shared" si="7"/>
        <v>0</v>
      </c>
      <c r="L16" s="357">
        <f t="shared" si="8"/>
        <v>0</v>
      </c>
      <c r="M16" s="184">
        <f t="shared" si="9"/>
        <v>0</v>
      </c>
      <c r="N16" s="93">
        <f t="shared" si="1"/>
        <v>0</v>
      </c>
      <c r="O16" s="94">
        <f t="shared" si="10"/>
        <v>0</v>
      </c>
      <c r="P16" s="225"/>
      <c r="Q16" s="564"/>
      <c r="R16" s="298">
        <f t="shared" si="11"/>
        <v>0</v>
      </c>
      <c r="S16" s="138">
        <f t="shared" si="12"/>
        <v>0</v>
      </c>
      <c r="T16" s="298">
        <f t="shared" si="13"/>
        <v>0</v>
      </c>
      <c r="U16" s="298">
        <f t="shared" si="14"/>
        <v>0</v>
      </c>
      <c r="V16" s="298">
        <f t="shared" si="15"/>
        <v>0</v>
      </c>
      <c r="W16" s="138">
        <f t="shared" si="16"/>
        <v>0</v>
      </c>
      <c r="X16" s="138">
        <f t="shared" si="17"/>
        <v>0</v>
      </c>
      <c r="Y16" s="138">
        <f t="shared" si="18"/>
        <v>0</v>
      </c>
      <c r="Z16" s="138">
        <f t="shared" si="19"/>
        <v>0</v>
      </c>
      <c r="AA16" s="138">
        <f t="shared" si="20"/>
        <v>0</v>
      </c>
      <c r="AB16" s="138">
        <f t="shared" si="21"/>
        <v>0</v>
      </c>
      <c r="AC16" s="138">
        <f t="shared" si="22"/>
        <v>0</v>
      </c>
      <c r="AD16" s="138">
        <f t="shared" si="23"/>
        <v>0</v>
      </c>
      <c r="AE16" s="342"/>
      <c r="AF16" s="544"/>
      <c r="AG16" s="124">
        <f t="shared" si="33"/>
        <v>0.54166666666666663</v>
      </c>
      <c r="AH16" s="125">
        <f t="shared" si="34"/>
        <v>0.57291666666666663</v>
      </c>
      <c r="AI16" s="95" t="b">
        <f t="shared" si="35"/>
        <v>0</v>
      </c>
      <c r="AJ16" s="96" t="b">
        <f t="shared" si="36"/>
        <v>0</v>
      </c>
      <c r="AK16" s="97">
        <f t="shared" si="37"/>
        <v>3.125E-2</v>
      </c>
      <c r="AL16" s="98">
        <f t="shared" si="38"/>
        <v>3.125E-2</v>
      </c>
      <c r="AM16" s="682">
        <f t="shared" si="39"/>
        <v>0</v>
      </c>
      <c r="AN16" s="99">
        <f t="shared" si="40"/>
        <v>1</v>
      </c>
      <c r="AO16" s="100">
        <f t="shared" si="41"/>
        <v>0</v>
      </c>
      <c r="AP16" s="101" t="b">
        <f t="shared" si="42"/>
        <v>0</v>
      </c>
      <c r="AQ16" s="99">
        <f t="shared" si="43"/>
        <v>1</v>
      </c>
      <c r="AR16" s="100">
        <f t="shared" si="44"/>
        <v>0</v>
      </c>
      <c r="AS16" s="101" t="b">
        <f t="shared" si="45"/>
        <v>0</v>
      </c>
      <c r="AT16" s="102">
        <f t="shared" si="46"/>
        <v>0</v>
      </c>
      <c r="AU16" s="682">
        <f t="shared" si="47"/>
        <v>0</v>
      </c>
      <c r="AV16" s="124">
        <f t="shared" si="48"/>
        <v>0.875</v>
      </c>
      <c r="AW16" s="125">
        <f t="shared" si="49"/>
        <v>0.89583333333333337</v>
      </c>
      <c r="AX16" s="95" t="b">
        <f t="shared" si="50"/>
        <v>0</v>
      </c>
      <c r="AY16" s="96" t="b">
        <f t="shared" si="51"/>
        <v>0</v>
      </c>
      <c r="AZ16" s="97">
        <f t="shared" si="52"/>
        <v>2.083333333333337E-2</v>
      </c>
      <c r="BA16" s="98">
        <f t="shared" si="53"/>
        <v>2.083333333333337E-2</v>
      </c>
      <c r="BB16" s="682">
        <f t="shared" si="54"/>
        <v>0</v>
      </c>
      <c r="BC16" s="99">
        <f t="shared" si="55"/>
        <v>1</v>
      </c>
      <c r="BD16" s="100">
        <f t="shared" si="56"/>
        <v>0</v>
      </c>
      <c r="BE16" s="101" t="b">
        <f t="shared" si="57"/>
        <v>0</v>
      </c>
      <c r="BF16" s="99">
        <f t="shared" si="58"/>
        <v>1</v>
      </c>
      <c r="BG16" s="100">
        <f t="shared" si="59"/>
        <v>0</v>
      </c>
      <c r="BH16" s="101" t="b">
        <f t="shared" si="60"/>
        <v>0</v>
      </c>
      <c r="BI16" s="102">
        <f t="shared" si="61"/>
        <v>0</v>
      </c>
      <c r="BJ16" s="682">
        <f t="shared" si="62"/>
        <v>0</v>
      </c>
      <c r="BK16" s="124">
        <f t="shared" si="63"/>
        <v>0</v>
      </c>
      <c r="BL16" s="125">
        <f t="shared" si="64"/>
        <v>0</v>
      </c>
      <c r="BM16" s="95" t="b">
        <f t="shared" si="65"/>
        <v>0</v>
      </c>
      <c r="BN16" s="96" t="b">
        <f t="shared" si="66"/>
        <v>0</v>
      </c>
      <c r="BO16" s="97">
        <f t="shared" si="67"/>
        <v>0</v>
      </c>
      <c r="BP16" s="98">
        <f t="shared" si="68"/>
        <v>0</v>
      </c>
      <c r="BQ16" s="682">
        <f t="shared" si="69"/>
        <v>0</v>
      </c>
      <c r="BR16" s="99">
        <f t="shared" si="70"/>
        <v>1</v>
      </c>
      <c r="BS16" s="100">
        <f t="shared" si="71"/>
        <v>0</v>
      </c>
      <c r="BT16" s="101" t="b">
        <f t="shared" si="72"/>
        <v>0</v>
      </c>
      <c r="BU16" s="99">
        <f t="shared" si="73"/>
        <v>0</v>
      </c>
      <c r="BV16" s="100">
        <f t="shared" si="74"/>
        <v>1</v>
      </c>
      <c r="BW16" s="101" t="b">
        <f t="shared" si="75"/>
        <v>0</v>
      </c>
      <c r="BX16" s="102">
        <f t="shared" si="76"/>
        <v>0</v>
      </c>
      <c r="BY16" s="682">
        <f t="shared" si="77"/>
        <v>0</v>
      </c>
      <c r="BZ16" s="124">
        <f t="shared" si="78"/>
        <v>0</v>
      </c>
      <c r="CA16" s="125">
        <f t="shared" si="79"/>
        <v>0</v>
      </c>
      <c r="CB16" s="95" t="b">
        <f t="shared" si="80"/>
        <v>0</v>
      </c>
      <c r="CC16" s="96" t="b">
        <f t="shared" si="81"/>
        <v>0</v>
      </c>
      <c r="CD16" s="97">
        <f t="shared" si="82"/>
        <v>0</v>
      </c>
      <c r="CE16" s="98">
        <f t="shared" si="83"/>
        <v>0</v>
      </c>
      <c r="CF16" s="682">
        <f t="shared" si="84"/>
        <v>0</v>
      </c>
      <c r="CG16" s="99">
        <f t="shared" si="85"/>
        <v>1</v>
      </c>
      <c r="CH16" s="100">
        <f t="shared" si="86"/>
        <v>0</v>
      </c>
      <c r="CI16" s="101" t="b">
        <f t="shared" si="87"/>
        <v>0</v>
      </c>
      <c r="CJ16" s="99">
        <f t="shared" si="88"/>
        <v>0</v>
      </c>
      <c r="CK16" s="100">
        <f t="shared" si="89"/>
        <v>1</v>
      </c>
      <c r="CL16" s="101" t="b">
        <f t="shared" si="90"/>
        <v>0</v>
      </c>
      <c r="CM16" s="102">
        <f t="shared" si="91"/>
        <v>0</v>
      </c>
      <c r="CN16" s="682">
        <f t="shared" si="92"/>
        <v>0</v>
      </c>
      <c r="CO16" s="124">
        <f t="shared" si="93"/>
        <v>0</v>
      </c>
      <c r="CP16" s="125">
        <f t="shared" si="94"/>
        <v>0</v>
      </c>
      <c r="CQ16" s="103" t="b">
        <f t="shared" si="95"/>
        <v>0</v>
      </c>
      <c r="CR16" s="96" t="b">
        <f t="shared" si="96"/>
        <v>0</v>
      </c>
      <c r="CS16" s="97">
        <f t="shared" si="97"/>
        <v>0</v>
      </c>
      <c r="CT16" s="98">
        <f t="shared" si="98"/>
        <v>0</v>
      </c>
      <c r="CU16" s="682">
        <f t="shared" si="99"/>
        <v>0</v>
      </c>
      <c r="CV16" s="99">
        <f t="shared" si="100"/>
        <v>1</v>
      </c>
      <c r="CW16" s="100">
        <f t="shared" si="101"/>
        <v>0</v>
      </c>
      <c r="CX16" s="101" t="b">
        <f t="shared" si="102"/>
        <v>0</v>
      </c>
      <c r="CY16" s="99">
        <f t="shared" si="103"/>
        <v>0</v>
      </c>
      <c r="CZ16" s="100">
        <f t="shared" si="104"/>
        <v>1</v>
      </c>
      <c r="DA16" s="101" t="b">
        <f t="shared" si="105"/>
        <v>0</v>
      </c>
      <c r="DB16" s="102">
        <f t="shared" si="106"/>
        <v>0</v>
      </c>
      <c r="DC16" s="683">
        <f t="shared" si="107"/>
        <v>0</v>
      </c>
      <c r="DD16" s="123">
        <f t="shared" si="108"/>
        <v>0</v>
      </c>
      <c r="DE16" s="104">
        <f t="shared" si="109"/>
        <v>0</v>
      </c>
      <c r="DG16" s="58">
        <v>2019</v>
      </c>
      <c r="DH16" s="144"/>
      <c r="DI16" s="144"/>
      <c r="DJ16" s="144"/>
      <c r="DK16" s="341"/>
      <c r="DL16" s="144"/>
      <c r="DM16" s="144"/>
      <c r="DN16" s="144"/>
      <c r="DO16" s="144"/>
      <c r="DP16" s="144"/>
      <c r="DQ16" s="144"/>
      <c r="DR16" s="117"/>
      <c r="DS16" s="151"/>
      <c r="DT16" s="650">
        <f>祝日表!B15</f>
        <v>0</v>
      </c>
      <c r="DU16" s="54" t="s">
        <v>425</v>
      </c>
      <c r="DV16" s="119" t="str">
        <f>祝日表!D15</f>
        <v>第3月曜</v>
      </c>
      <c r="DW16" s="144"/>
      <c r="DX16" s="152"/>
      <c r="DY16" s="139">
        <f t="shared" si="2"/>
        <v>1</v>
      </c>
      <c r="DZ16" s="119">
        <f>IF(OR(C16="祝",C16="休"),1,0)</f>
        <v>0</v>
      </c>
      <c r="EA16" s="51">
        <f t="shared" si="27"/>
        <v>1</v>
      </c>
      <c r="EB16" s="144"/>
      <c r="EC16" s="51">
        <f t="shared" si="28"/>
        <v>0</v>
      </c>
      <c r="ED16" s="144"/>
      <c r="EE16" s="622"/>
      <c r="EF16" s="622"/>
      <c r="EG16" s="622"/>
      <c r="EH16" s="622"/>
    </row>
    <row r="17" spans="1:138" ht="15" customHeight="1">
      <c r="A17" s="428">
        <f t="shared" si="29"/>
        <v>44410</v>
      </c>
      <c r="B17" s="132" t="str">
        <f t="shared" si="30"/>
        <v>月</v>
      </c>
      <c r="C17" s="129" t="str">
        <f t="shared" si="3"/>
        <v/>
      </c>
      <c r="D17" s="240">
        <v>0.35416666666666669</v>
      </c>
      <c r="E17" s="239">
        <f t="shared" si="4"/>
        <v>0.35416666666666663</v>
      </c>
      <c r="F17" s="241">
        <v>0.79166666666666663</v>
      </c>
      <c r="G17" s="239">
        <f t="shared" si="5"/>
        <v>0.79166666666666663</v>
      </c>
      <c r="H17" s="92">
        <f t="shared" si="31"/>
        <v>0.4375</v>
      </c>
      <c r="I17" s="93">
        <f t="shared" si="32"/>
        <v>3.125E-2</v>
      </c>
      <c r="J17" s="184">
        <f t="shared" si="6"/>
        <v>0.40625</v>
      </c>
      <c r="K17" s="194">
        <f t="shared" si="7"/>
        <v>0</v>
      </c>
      <c r="L17" s="357">
        <f t="shared" si="8"/>
        <v>0.35416666666666663</v>
      </c>
      <c r="M17" s="184">
        <f t="shared" si="9"/>
        <v>7.2916666666666685E-2</v>
      </c>
      <c r="N17" s="93">
        <f t="shared" si="1"/>
        <v>0</v>
      </c>
      <c r="O17" s="94">
        <f t="shared" si="10"/>
        <v>7.2916666666666685E-2</v>
      </c>
      <c r="P17" s="225"/>
      <c r="Q17" s="564"/>
      <c r="R17" s="298">
        <f t="shared" si="11"/>
        <v>0</v>
      </c>
      <c r="S17" s="138">
        <f t="shared" si="12"/>
        <v>0</v>
      </c>
      <c r="T17" s="298">
        <f t="shared" si="13"/>
        <v>0</v>
      </c>
      <c r="U17" s="298">
        <f t="shared" si="14"/>
        <v>0</v>
      </c>
      <c r="V17" s="298">
        <f t="shared" si="15"/>
        <v>0</v>
      </c>
      <c r="W17" s="138">
        <f t="shared" si="16"/>
        <v>0</v>
      </c>
      <c r="X17" s="138">
        <f t="shared" si="17"/>
        <v>0</v>
      </c>
      <c r="Y17" s="138">
        <f t="shared" si="18"/>
        <v>0</v>
      </c>
      <c r="Z17" s="138">
        <f t="shared" si="19"/>
        <v>0</v>
      </c>
      <c r="AA17" s="138">
        <f t="shared" si="20"/>
        <v>0</v>
      </c>
      <c r="AB17" s="138">
        <f t="shared" si="21"/>
        <v>0</v>
      </c>
      <c r="AC17" s="138">
        <f t="shared" si="22"/>
        <v>0</v>
      </c>
      <c r="AD17" s="138">
        <f t="shared" si="23"/>
        <v>0</v>
      </c>
      <c r="AE17" s="342"/>
      <c r="AF17" s="544"/>
      <c r="AG17" s="124">
        <f t="shared" si="33"/>
        <v>0.54166666666666663</v>
      </c>
      <c r="AH17" s="125">
        <f t="shared" si="34"/>
        <v>0.57291666666666663</v>
      </c>
      <c r="AI17" s="95" t="b">
        <f t="shared" si="35"/>
        <v>0</v>
      </c>
      <c r="AJ17" s="96" t="b">
        <f t="shared" si="36"/>
        <v>0</v>
      </c>
      <c r="AK17" s="97">
        <f t="shared" si="37"/>
        <v>3.125E-2</v>
      </c>
      <c r="AL17" s="98">
        <f t="shared" si="38"/>
        <v>3.125E-2</v>
      </c>
      <c r="AM17" s="682">
        <f t="shared" si="39"/>
        <v>0</v>
      </c>
      <c r="AN17" s="99">
        <f t="shared" si="40"/>
        <v>1</v>
      </c>
      <c r="AO17" s="100">
        <f t="shared" si="41"/>
        <v>1</v>
      </c>
      <c r="AP17" s="101" t="b">
        <f t="shared" si="42"/>
        <v>1</v>
      </c>
      <c r="AQ17" s="99">
        <f t="shared" si="43"/>
        <v>1</v>
      </c>
      <c r="AR17" s="100">
        <f t="shared" si="44"/>
        <v>1</v>
      </c>
      <c r="AS17" s="101" t="b">
        <f t="shared" si="45"/>
        <v>1</v>
      </c>
      <c r="AT17" s="102">
        <f t="shared" si="46"/>
        <v>3.125E-2</v>
      </c>
      <c r="AU17" s="682">
        <f t="shared" si="47"/>
        <v>0</v>
      </c>
      <c r="AV17" s="124">
        <f t="shared" si="48"/>
        <v>0.875</v>
      </c>
      <c r="AW17" s="125">
        <f t="shared" si="49"/>
        <v>0.89583333333333337</v>
      </c>
      <c r="AX17" s="95" t="b">
        <f t="shared" si="50"/>
        <v>0</v>
      </c>
      <c r="AY17" s="96" t="b">
        <f t="shared" si="51"/>
        <v>0</v>
      </c>
      <c r="AZ17" s="97">
        <f t="shared" si="52"/>
        <v>2.083333333333337E-2</v>
      </c>
      <c r="BA17" s="98">
        <f t="shared" si="53"/>
        <v>2.083333333333337E-2</v>
      </c>
      <c r="BB17" s="682">
        <f t="shared" si="54"/>
        <v>0</v>
      </c>
      <c r="BC17" s="99">
        <f t="shared" si="55"/>
        <v>1</v>
      </c>
      <c r="BD17" s="100">
        <f t="shared" si="56"/>
        <v>0</v>
      </c>
      <c r="BE17" s="101" t="b">
        <f t="shared" si="57"/>
        <v>0</v>
      </c>
      <c r="BF17" s="99">
        <f t="shared" si="58"/>
        <v>1</v>
      </c>
      <c r="BG17" s="100">
        <f t="shared" si="59"/>
        <v>0</v>
      </c>
      <c r="BH17" s="101" t="b">
        <f t="shared" si="60"/>
        <v>0</v>
      </c>
      <c r="BI17" s="102">
        <f t="shared" si="61"/>
        <v>0</v>
      </c>
      <c r="BJ17" s="682">
        <f t="shared" si="62"/>
        <v>0</v>
      </c>
      <c r="BK17" s="124">
        <f t="shared" si="63"/>
        <v>0</v>
      </c>
      <c r="BL17" s="125">
        <f t="shared" si="64"/>
        <v>0</v>
      </c>
      <c r="BM17" s="95" t="b">
        <f t="shared" si="65"/>
        <v>0</v>
      </c>
      <c r="BN17" s="96" t="b">
        <f t="shared" si="66"/>
        <v>0</v>
      </c>
      <c r="BO17" s="97">
        <f t="shared" si="67"/>
        <v>0</v>
      </c>
      <c r="BP17" s="98">
        <f t="shared" si="68"/>
        <v>0</v>
      </c>
      <c r="BQ17" s="682">
        <f t="shared" si="69"/>
        <v>0</v>
      </c>
      <c r="BR17" s="99">
        <f t="shared" si="70"/>
        <v>0</v>
      </c>
      <c r="BS17" s="100">
        <f t="shared" si="71"/>
        <v>1</v>
      </c>
      <c r="BT17" s="101" t="b">
        <f t="shared" si="72"/>
        <v>0</v>
      </c>
      <c r="BU17" s="99">
        <f t="shared" si="73"/>
        <v>0</v>
      </c>
      <c r="BV17" s="100">
        <f t="shared" si="74"/>
        <v>1</v>
      </c>
      <c r="BW17" s="101" t="b">
        <f t="shared" si="75"/>
        <v>0</v>
      </c>
      <c r="BX17" s="102">
        <f t="shared" si="76"/>
        <v>0</v>
      </c>
      <c r="BY17" s="682">
        <f t="shared" si="77"/>
        <v>0</v>
      </c>
      <c r="BZ17" s="124">
        <f t="shared" si="78"/>
        <v>0</v>
      </c>
      <c r="CA17" s="125">
        <f t="shared" si="79"/>
        <v>0</v>
      </c>
      <c r="CB17" s="95" t="b">
        <f t="shared" si="80"/>
        <v>0</v>
      </c>
      <c r="CC17" s="96" t="b">
        <f t="shared" si="81"/>
        <v>0</v>
      </c>
      <c r="CD17" s="97">
        <f t="shared" si="82"/>
        <v>0</v>
      </c>
      <c r="CE17" s="98">
        <f t="shared" si="83"/>
        <v>0</v>
      </c>
      <c r="CF17" s="682">
        <f t="shared" si="84"/>
        <v>0</v>
      </c>
      <c r="CG17" s="99">
        <f t="shared" si="85"/>
        <v>0</v>
      </c>
      <c r="CH17" s="100">
        <f t="shared" si="86"/>
        <v>1</v>
      </c>
      <c r="CI17" s="101" t="b">
        <f t="shared" si="87"/>
        <v>0</v>
      </c>
      <c r="CJ17" s="99">
        <f t="shared" si="88"/>
        <v>0</v>
      </c>
      <c r="CK17" s="100">
        <f t="shared" si="89"/>
        <v>1</v>
      </c>
      <c r="CL17" s="101" t="b">
        <f t="shared" si="90"/>
        <v>0</v>
      </c>
      <c r="CM17" s="102">
        <f t="shared" si="91"/>
        <v>0</v>
      </c>
      <c r="CN17" s="682">
        <f t="shared" si="92"/>
        <v>0</v>
      </c>
      <c r="CO17" s="124">
        <f t="shared" si="93"/>
        <v>0</v>
      </c>
      <c r="CP17" s="125">
        <f t="shared" si="94"/>
        <v>0</v>
      </c>
      <c r="CQ17" s="103" t="b">
        <f t="shared" si="95"/>
        <v>0</v>
      </c>
      <c r="CR17" s="96" t="b">
        <f t="shared" si="96"/>
        <v>0</v>
      </c>
      <c r="CS17" s="97">
        <f t="shared" si="97"/>
        <v>0</v>
      </c>
      <c r="CT17" s="98">
        <f t="shared" si="98"/>
        <v>0</v>
      </c>
      <c r="CU17" s="682">
        <f t="shared" si="99"/>
        <v>0</v>
      </c>
      <c r="CV17" s="99">
        <f t="shared" si="100"/>
        <v>0</v>
      </c>
      <c r="CW17" s="100">
        <f t="shared" si="101"/>
        <v>1</v>
      </c>
      <c r="CX17" s="101" t="b">
        <f t="shared" si="102"/>
        <v>0</v>
      </c>
      <c r="CY17" s="99">
        <f t="shared" si="103"/>
        <v>0</v>
      </c>
      <c r="CZ17" s="100">
        <f t="shared" si="104"/>
        <v>1</v>
      </c>
      <c r="DA17" s="101" t="b">
        <f t="shared" si="105"/>
        <v>0</v>
      </c>
      <c r="DB17" s="102">
        <f t="shared" si="106"/>
        <v>0</v>
      </c>
      <c r="DC17" s="683">
        <f t="shared" si="107"/>
        <v>0</v>
      </c>
      <c r="DD17" s="123">
        <f t="shared" si="108"/>
        <v>3.125E-2</v>
      </c>
      <c r="DE17" s="104">
        <f t="shared" si="109"/>
        <v>0</v>
      </c>
      <c r="DG17" s="58">
        <v>2020</v>
      </c>
      <c r="DH17" s="144"/>
      <c r="DI17" s="144"/>
      <c r="DJ17" s="144"/>
      <c r="DK17" s="144"/>
      <c r="DL17" s="144"/>
      <c r="DM17" s="144"/>
      <c r="DN17" s="144"/>
      <c r="DO17" s="144"/>
      <c r="DP17" s="144"/>
      <c r="DQ17" s="144"/>
      <c r="DR17" s="117"/>
      <c r="DS17" s="151"/>
      <c r="DT17" s="58" t="s">
        <v>567</v>
      </c>
      <c r="DU17" s="58" t="s">
        <v>568</v>
      </c>
      <c r="DV17" s="51" t="s">
        <v>569</v>
      </c>
      <c r="DW17" s="144"/>
      <c r="DX17" s="152"/>
      <c r="DY17" s="139">
        <f t="shared" si="2"/>
        <v>0</v>
      </c>
      <c r="DZ17" s="119">
        <f>IF(OR(C17="祝",C17="休"),1,0)</f>
        <v>0</v>
      </c>
      <c r="EA17" s="51">
        <f t="shared" si="27"/>
        <v>0</v>
      </c>
      <c r="EB17" s="144"/>
      <c r="EC17" s="51">
        <f t="shared" si="28"/>
        <v>1</v>
      </c>
      <c r="ED17" s="144"/>
      <c r="EE17" s="622"/>
      <c r="EF17" s="622"/>
      <c r="EG17" s="622"/>
      <c r="EH17" s="622"/>
    </row>
    <row r="18" spans="1:138" ht="15" customHeight="1">
      <c r="A18" s="428">
        <f t="shared" si="29"/>
        <v>44411</v>
      </c>
      <c r="B18" s="132" t="str">
        <f t="shared" si="30"/>
        <v>火</v>
      </c>
      <c r="C18" s="129" t="str">
        <f t="shared" si="3"/>
        <v/>
      </c>
      <c r="D18" s="240">
        <v>0.39583333333333331</v>
      </c>
      <c r="E18" s="239">
        <f t="shared" si="4"/>
        <v>0.39583333333333331</v>
      </c>
      <c r="F18" s="241">
        <v>0.71875</v>
      </c>
      <c r="G18" s="239">
        <f t="shared" si="5"/>
        <v>0.71875</v>
      </c>
      <c r="H18" s="92">
        <f t="shared" si="31"/>
        <v>0.32291666666666669</v>
      </c>
      <c r="I18" s="93">
        <f t="shared" si="32"/>
        <v>3.125E-2</v>
      </c>
      <c r="J18" s="184">
        <f t="shared" si="6"/>
        <v>0.29166666666666663</v>
      </c>
      <c r="K18" s="194">
        <f t="shared" si="7"/>
        <v>0</v>
      </c>
      <c r="L18" s="357">
        <f t="shared" si="8"/>
        <v>0.39583333333333331</v>
      </c>
      <c r="M18" s="184">
        <f t="shared" si="9"/>
        <v>0</v>
      </c>
      <c r="N18" s="93">
        <f t="shared" si="1"/>
        <v>0</v>
      </c>
      <c r="O18" s="94">
        <f t="shared" si="10"/>
        <v>0</v>
      </c>
      <c r="P18" s="225"/>
      <c r="Q18" s="564" t="s">
        <v>592</v>
      </c>
      <c r="R18" s="298">
        <f t="shared" si="11"/>
        <v>0</v>
      </c>
      <c r="S18" s="138">
        <f t="shared" si="12"/>
        <v>0</v>
      </c>
      <c r="T18" s="298">
        <f t="shared" si="13"/>
        <v>0</v>
      </c>
      <c r="U18" s="298">
        <f t="shared" si="14"/>
        <v>0</v>
      </c>
      <c r="V18" s="298">
        <f t="shared" si="15"/>
        <v>1</v>
      </c>
      <c r="W18" s="138">
        <f t="shared" si="16"/>
        <v>0</v>
      </c>
      <c r="X18" s="138">
        <f t="shared" si="17"/>
        <v>0</v>
      </c>
      <c r="Y18" s="138">
        <f t="shared" si="18"/>
        <v>0</v>
      </c>
      <c r="Z18" s="138">
        <f t="shared" si="19"/>
        <v>0</v>
      </c>
      <c r="AA18" s="138">
        <f t="shared" si="20"/>
        <v>0</v>
      </c>
      <c r="AB18" s="138">
        <f t="shared" si="21"/>
        <v>0</v>
      </c>
      <c r="AC18" s="138">
        <f t="shared" si="22"/>
        <v>0</v>
      </c>
      <c r="AD18" s="138">
        <f t="shared" si="23"/>
        <v>0</v>
      </c>
      <c r="AE18" s="626"/>
      <c r="AF18" s="544" t="s">
        <v>593</v>
      </c>
      <c r="AG18" s="124">
        <f t="shared" si="33"/>
        <v>0.54166666666666663</v>
      </c>
      <c r="AH18" s="125">
        <f t="shared" si="34"/>
        <v>0.57291666666666663</v>
      </c>
      <c r="AI18" s="95" t="b">
        <f t="shared" si="35"/>
        <v>0</v>
      </c>
      <c r="AJ18" s="96" t="b">
        <f t="shared" si="36"/>
        <v>0</v>
      </c>
      <c r="AK18" s="97">
        <f t="shared" si="37"/>
        <v>3.125E-2</v>
      </c>
      <c r="AL18" s="98">
        <f t="shared" si="38"/>
        <v>3.125E-2</v>
      </c>
      <c r="AM18" s="682">
        <f t="shared" si="39"/>
        <v>0</v>
      </c>
      <c r="AN18" s="99">
        <f t="shared" si="40"/>
        <v>1</v>
      </c>
      <c r="AO18" s="100">
        <f t="shared" si="41"/>
        <v>1</v>
      </c>
      <c r="AP18" s="101" t="b">
        <f t="shared" si="42"/>
        <v>1</v>
      </c>
      <c r="AQ18" s="99">
        <f t="shared" si="43"/>
        <v>1</v>
      </c>
      <c r="AR18" s="100">
        <f t="shared" si="44"/>
        <v>1</v>
      </c>
      <c r="AS18" s="101" t="b">
        <f t="shared" si="45"/>
        <v>1</v>
      </c>
      <c r="AT18" s="102">
        <f t="shared" si="46"/>
        <v>3.125E-2</v>
      </c>
      <c r="AU18" s="682">
        <f t="shared" si="47"/>
        <v>0</v>
      </c>
      <c r="AV18" s="124">
        <f t="shared" si="48"/>
        <v>0.875</v>
      </c>
      <c r="AW18" s="125">
        <f t="shared" si="49"/>
        <v>0.89583333333333337</v>
      </c>
      <c r="AX18" s="95" t="b">
        <f t="shared" si="50"/>
        <v>0</v>
      </c>
      <c r="AY18" s="96" t="b">
        <f t="shared" si="51"/>
        <v>0</v>
      </c>
      <c r="AZ18" s="97">
        <f t="shared" si="52"/>
        <v>2.083333333333337E-2</v>
      </c>
      <c r="BA18" s="98">
        <f t="shared" si="53"/>
        <v>2.083333333333337E-2</v>
      </c>
      <c r="BB18" s="682">
        <f t="shared" si="54"/>
        <v>0</v>
      </c>
      <c r="BC18" s="99">
        <f t="shared" si="55"/>
        <v>1</v>
      </c>
      <c r="BD18" s="100">
        <f t="shared" si="56"/>
        <v>0</v>
      </c>
      <c r="BE18" s="101" t="b">
        <f t="shared" si="57"/>
        <v>0</v>
      </c>
      <c r="BF18" s="99">
        <f t="shared" si="58"/>
        <v>1</v>
      </c>
      <c r="BG18" s="100">
        <f t="shared" si="59"/>
        <v>0</v>
      </c>
      <c r="BH18" s="101" t="b">
        <f t="shared" si="60"/>
        <v>0</v>
      </c>
      <c r="BI18" s="102">
        <f t="shared" si="61"/>
        <v>0</v>
      </c>
      <c r="BJ18" s="682">
        <f t="shared" si="62"/>
        <v>0</v>
      </c>
      <c r="BK18" s="124">
        <f t="shared" si="63"/>
        <v>0</v>
      </c>
      <c r="BL18" s="125">
        <f t="shared" si="64"/>
        <v>0</v>
      </c>
      <c r="BM18" s="95" t="b">
        <f t="shared" si="65"/>
        <v>0</v>
      </c>
      <c r="BN18" s="96" t="b">
        <f t="shared" si="66"/>
        <v>0</v>
      </c>
      <c r="BO18" s="97">
        <f t="shared" si="67"/>
        <v>0</v>
      </c>
      <c r="BP18" s="98">
        <f t="shared" si="68"/>
        <v>0</v>
      </c>
      <c r="BQ18" s="682">
        <f t="shared" si="69"/>
        <v>0</v>
      </c>
      <c r="BR18" s="99">
        <f t="shared" si="70"/>
        <v>0</v>
      </c>
      <c r="BS18" s="100">
        <f t="shared" si="71"/>
        <v>1</v>
      </c>
      <c r="BT18" s="101" t="b">
        <f t="shared" si="72"/>
        <v>0</v>
      </c>
      <c r="BU18" s="99">
        <f t="shared" si="73"/>
        <v>0</v>
      </c>
      <c r="BV18" s="100">
        <f t="shared" si="74"/>
        <v>1</v>
      </c>
      <c r="BW18" s="101" t="b">
        <f t="shared" si="75"/>
        <v>0</v>
      </c>
      <c r="BX18" s="102">
        <f t="shared" si="76"/>
        <v>0</v>
      </c>
      <c r="BY18" s="682">
        <f t="shared" si="77"/>
        <v>0</v>
      </c>
      <c r="BZ18" s="124">
        <f t="shared" si="78"/>
        <v>0</v>
      </c>
      <c r="CA18" s="125">
        <f t="shared" si="79"/>
        <v>0</v>
      </c>
      <c r="CB18" s="95" t="b">
        <f t="shared" si="80"/>
        <v>0</v>
      </c>
      <c r="CC18" s="96" t="b">
        <f t="shared" si="81"/>
        <v>0</v>
      </c>
      <c r="CD18" s="97">
        <f t="shared" si="82"/>
        <v>0</v>
      </c>
      <c r="CE18" s="98">
        <f t="shared" si="83"/>
        <v>0</v>
      </c>
      <c r="CF18" s="682">
        <f t="shared" si="84"/>
        <v>0</v>
      </c>
      <c r="CG18" s="99">
        <f t="shared" si="85"/>
        <v>0</v>
      </c>
      <c r="CH18" s="100">
        <f t="shared" si="86"/>
        <v>1</v>
      </c>
      <c r="CI18" s="101" t="b">
        <f t="shared" si="87"/>
        <v>0</v>
      </c>
      <c r="CJ18" s="99">
        <f t="shared" si="88"/>
        <v>0</v>
      </c>
      <c r="CK18" s="100">
        <f t="shared" si="89"/>
        <v>1</v>
      </c>
      <c r="CL18" s="101" t="b">
        <f t="shared" si="90"/>
        <v>0</v>
      </c>
      <c r="CM18" s="102">
        <f t="shared" si="91"/>
        <v>0</v>
      </c>
      <c r="CN18" s="682">
        <f t="shared" si="92"/>
        <v>0</v>
      </c>
      <c r="CO18" s="124">
        <f t="shared" si="93"/>
        <v>0</v>
      </c>
      <c r="CP18" s="125">
        <f t="shared" si="94"/>
        <v>0</v>
      </c>
      <c r="CQ18" s="103" t="b">
        <f t="shared" si="95"/>
        <v>0</v>
      </c>
      <c r="CR18" s="96" t="b">
        <f t="shared" si="96"/>
        <v>0</v>
      </c>
      <c r="CS18" s="97">
        <f t="shared" si="97"/>
        <v>0</v>
      </c>
      <c r="CT18" s="98">
        <f t="shared" si="98"/>
        <v>0</v>
      </c>
      <c r="CU18" s="682">
        <f t="shared" si="99"/>
        <v>0</v>
      </c>
      <c r="CV18" s="99">
        <f t="shared" si="100"/>
        <v>0</v>
      </c>
      <c r="CW18" s="100">
        <f t="shared" si="101"/>
        <v>1</v>
      </c>
      <c r="CX18" s="101" t="b">
        <f t="shared" si="102"/>
        <v>0</v>
      </c>
      <c r="CY18" s="99">
        <f t="shared" si="103"/>
        <v>0</v>
      </c>
      <c r="CZ18" s="100">
        <f t="shared" si="104"/>
        <v>1</v>
      </c>
      <c r="DA18" s="101" t="b">
        <f t="shared" si="105"/>
        <v>0</v>
      </c>
      <c r="DB18" s="102">
        <f t="shared" si="106"/>
        <v>0</v>
      </c>
      <c r="DC18" s="683">
        <f t="shared" si="107"/>
        <v>0</v>
      </c>
      <c r="DD18" s="123">
        <f t="shared" si="108"/>
        <v>3.125E-2</v>
      </c>
      <c r="DE18" s="104">
        <f t="shared" si="109"/>
        <v>0</v>
      </c>
      <c r="DG18" s="58">
        <v>2021</v>
      </c>
      <c r="DH18" s="144"/>
      <c r="DI18" s="144"/>
      <c r="DJ18" s="144"/>
      <c r="DK18" s="144"/>
      <c r="DL18" s="117" t="s">
        <v>594</v>
      </c>
      <c r="DM18" s="134">
        <f>IF(祝日表!B20="","",祝日表!B20)</f>
        <v>44275</v>
      </c>
      <c r="DN18" s="148"/>
      <c r="DO18" s="148"/>
      <c r="DP18" s="148"/>
      <c r="DQ18" s="148"/>
      <c r="DR18" s="162"/>
      <c r="DS18" s="151"/>
      <c r="DT18" s="58">
        <v>15</v>
      </c>
      <c r="DU18" s="120">
        <f>DATE($A$1,DT$16,DT18)</f>
        <v>44180</v>
      </c>
      <c r="DV18" s="51">
        <f>WEEKDAY(DU18,1)</f>
        <v>3</v>
      </c>
      <c r="DW18" s="144"/>
      <c r="DX18" s="152"/>
      <c r="DY18" s="139">
        <f t="shared" si="2"/>
        <v>0</v>
      </c>
      <c r="DZ18" s="119">
        <f t="shared" ref="DZ18:DZ35" si="110">IF(OR(C18="祝",C18="休"),1,0)</f>
        <v>0</v>
      </c>
      <c r="EA18" s="51">
        <f t="shared" si="27"/>
        <v>0</v>
      </c>
      <c r="EB18" s="144"/>
      <c r="EC18" s="51">
        <f t="shared" si="28"/>
        <v>1</v>
      </c>
      <c r="ED18" s="144"/>
      <c r="EE18" s="622"/>
      <c r="EF18" s="622"/>
      <c r="EG18" s="622"/>
      <c r="EH18" s="622"/>
    </row>
    <row r="19" spans="1:138" ht="15" customHeight="1">
      <c r="A19" s="428">
        <f t="shared" si="29"/>
        <v>44412</v>
      </c>
      <c r="B19" s="132" t="str">
        <f t="shared" si="30"/>
        <v>水</v>
      </c>
      <c r="C19" s="129" t="str">
        <f t="shared" si="3"/>
        <v/>
      </c>
      <c r="D19" s="240">
        <v>0.35416666666666669</v>
      </c>
      <c r="E19" s="239">
        <f t="shared" si="4"/>
        <v>0.35416666666666663</v>
      </c>
      <c r="F19" s="241">
        <v>0.71875</v>
      </c>
      <c r="G19" s="239">
        <f t="shared" si="5"/>
        <v>0.71875</v>
      </c>
      <c r="H19" s="92">
        <f t="shared" si="31"/>
        <v>0.36458333333333337</v>
      </c>
      <c r="I19" s="93">
        <f t="shared" si="32"/>
        <v>3.125E-2</v>
      </c>
      <c r="J19" s="184">
        <f t="shared" si="6"/>
        <v>0.33333333333333331</v>
      </c>
      <c r="K19" s="194">
        <f t="shared" si="7"/>
        <v>0</v>
      </c>
      <c r="L19" s="357">
        <f t="shared" si="8"/>
        <v>0.35416666666666663</v>
      </c>
      <c r="M19" s="184">
        <f t="shared" si="9"/>
        <v>0</v>
      </c>
      <c r="N19" s="93">
        <f t="shared" si="1"/>
        <v>0</v>
      </c>
      <c r="O19" s="94">
        <f t="shared" si="10"/>
        <v>0</v>
      </c>
      <c r="P19" s="225"/>
      <c r="Q19" s="564"/>
      <c r="R19" s="298">
        <f t="shared" si="11"/>
        <v>0</v>
      </c>
      <c r="S19" s="138">
        <f t="shared" si="12"/>
        <v>0</v>
      </c>
      <c r="T19" s="298">
        <f t="shared" si="13"/>
        <v>0</v>
      </c>
      <c r="U19" s="298">
        <f t="shared" si="14"/>
        <v>0</v>
      </c>
      <c r="V19" s="298">
        <f t="shared" si="15"/>
        <v>0</v>
      </c>
      <c r="W19" s="138">
        <f t="shared" si="16"/>
        <v>0</v>
      </c>
      <c r="X19" s="138">
        <f t="shared" si="17"/>
        <v>0</v>
      </c>
      <c r="Y19" s="138">
        <f t="shared" si="18"/>
        <v>0</v>
      </c>
      <c r="Z19" s="138">
        <f t="shared" si="19"/>
        <v>0</v>
      </c>
      <c r="AA19" s="138">
        <f t="shared" si="20"/>
        <v>0</v>
      </c>
      <c r="AB19" s="138">
        <f t="shared" si="21"/>
        <v>0</v>
      </c>
      <c r="AC19" s="138">
        <f t="shared" si="22"/>
        <v>0</v>
      </c>
      <c r="AD19" s="138">
        <f t="shared" si="23"/>
        <v>0</v>
      </c>
      <c r="AE19" s="626"/>
      <c r="AF19" s="544"/>
      <c r="AG19" s="124">
        <f t="shared" si="33"/>
        <v>0.54166666666666663</v>
      </c>
      <c r="AH19" s="125">
        <f t="shared" si="34"/>
        <v>0.57291666666666663</v>
      </c>
      <c r="AI19" s="95" t="b">
        <f t="shared" si="35"/>
        <v>0</v>
      </c>
      <c r="AJ19" s="96" t="b">
        <f t="shared" si="36"/>
        <v>0</v>
      </c>
      <c r="AK19" s="97">
        <f t="shared" si="37"/>
        <v>3.125E-2</v>
      </c>
      <c r="AL19" s="98">
        <f t="shared" si="38"/>
        <v>3.125E-2</v>
      </c>
      <c r="AM19" s="682">
        <f t="shared" si="39"/>
        <v>0</v>
      </c>
      <c r="AN19" s="99">
        <f t="shared" si="40"/>
        <v>1</v>
      </c>
      <c r="AO19" s="100">
        <f t="shared" si="41"/>
        <v>1</v>
      </c>
      <c r="AP19" s="101" t="b">
        <f t="shared" si="42"/>
        <v>1</v>
      </c>
      <c r="AQ19" s="99">
        <f t="shared" si="43"/>
        <v>1</v>
      </c>
      <c r="AR19" s="100">
        <f t="shared" si="44"/>
        <v>1</v>
      </c>
      <c r="AS19" s="101" t="b">
        <f t="shared" si="45"/>
        <v>1</v>
      </c>
      <c r="AT19" s="102">
        <f t="shared" si="46"/>
        <v>3.125E-2</v>
      </c>
      <c r="AU19" s="682">
        <f t="shared" si="47"/>
        <v>0</v>
      </c>
      <c r="AV19" s="124">
        <f t="shared" si="48"/>
        <v>0.875</v>
      </c>
      <c r="AW19" s="125">
        <f t="shared" si="49"/>
        <v>0.89583333333333337</v>
      </c>
      <c r="AX19" s="95" t="b">
        <f t="shared" si="50"/>
        <v>0</v>
      </c>
      <c r="AY19" s="96" t="b">
        <f t="shared" si="51"/>
        <v>0</v>
      </c>
      <c r="AZ19" s="97">
        <f t="shared" si="52"/>
        <v>2.083333333333337E-2</v>
      </c>
      <c r="BA19" s="98">
        <f t="shared" si="53"/>
        <v>2.083333333333337E-2</v>
      </c>
      <c r="BB19" s="682">
        <f t="shared" si="54"/>
        <v>0</v>
      </c>
      <c r="BC19" s="99">
        <f t="shared" si="55"/>
        <v>1</v>
      </c>
      <c r="BD19" s="100">
        <f t="shared" si="56"/>
        <v>0</v>
      </c>
      <c r="BE19" s="101" t="b">
        <f t="shared" si="57"/>
        <v>0</v>
      </c>
      <c r="BF19" s="99">
        <f t="shared" si="58"/>
        <v>1</v>
      </c>
      <c r="BG19" s="100">
        <f t="shared" si="59"/>
        <v>0</v>
      </c>
      <c r="BH19" s="101" t="b">
        <f t="shared" si="60"/>
        <v>0</v>
      </c>
      <c r="BI19" s="102">
        <f t="shared" si="61"/>
        <v>0</v>
      </c>
      <c r="BJ19" s="682">
        <f t="shared" si="62"/>
        <v>0</v>
      </c>
      <c r="BK19" s="124">
        <f t="shared" si="63"/>
        <v>0</v>
      </c>
      <c r="BL19" s="125">
        <f t="shared" si="64"/>
        <v>0</v>
      </c>
      <c r="BM19" s="95" t="b">
        <f t="shared" si="65"/>
        <v>0</v>
      </c>
      <c r="BN19" s="96" t="b">
        <f t="shared" si="66"/>
        <v>0</v>
      </c>
      <c r="BO19" s="97">
        <f t="shared" si="67"/>
        <v>0</v>
      </c>
      <c r="BP19" s="98">
        <f t="shared" si="68"/>
        <v>0</v>
      </c>
      <c r="BQ19" s="682">
        <f t="shared" si="69"/>
        <v>0</v>
      </c>
      <c r="BR19" s="99">
        <f t="shared" si="70"/>
        <v>0</v>
      </c>
      <c r="BS19" s="100">
        <f t="shared" si="71"/>
        <v>1</v>
      </c>
      <c r="BT19" s="101" t="b">
        <f t="shared" si="72"/>
        <v>0</v>
      </c>
      <c r="BU19" s="99">
        <f t="shared" si="73"/>
        <v>0</v>
      </c>
      <c r="BV19" s="100">
        <f t="shared" si="74"/>
        <v>1</v>
      </c>
      <c r="BW19" s="101" t="b">
        <f t="shared" si="75"/>
        <v>0</v>
      </c>
      <c r="BX19" s="102">
        <f t="shared" si="76"/>
        <v>0</v>
      </c>
      <c r="BY19" s="682">
        <f t="shared" si="77"/>
        <v>0</v>
      </c>
      <c r="BZ19" s="124">
        <f t="shared" si="78"/>
        <v>0</v>
      </c>
      <c r="CA19" s="125">
        <f t="shared" si="79"/>
        <v>0</v>
      </c>
      <c r="CB19" s="95" t="b">
        <f t="shared" si="80"/>
        <v>0</v>
      </c>
      <c r="CC19" s="96" t="b">
        <f t="shared" si="81"/>
        <v>0</v>
      </c>
      <c r="CD19" s="97">
        <f t="shared" si="82"/>
        <v>0</v>
      </c>
      <c r="CE19" s="98">
        <f t="shared" si="83"/>
        <v>0</v>
      </c>
      <c r="CF19" s="682">
        <f t="shared" si="84"/>
        <v>0</v>
      </c>
      <c r="CG19" s="99">
        <f t="shared" si="85"/>
        <v>0</v>
      </c>
      <c r="CH19" s="100">
        <f t="shared" si="86"/>
        <v>1</v>
      </c>
      <c r="CI19" s="101" t="b">
        <f t="shared" si="87"/>
        <v>0</v>
      </c>
      <c r="CJ19" s="99">
        <f t="shared" si="88"/>
        <v>0</v>
      </c>
      <c r="CK19" s="100">
        <f t="shared" si="89"/>
        <v>1</v>
      </c>
      <c r="CL19" s="101" t="b">
        <f t="shared" si="90"/>
        <v>0</v>
      </c>
      <c r="CM19" s="102">
        <f t="shared" si="91"/>
        <v>0</v>
      </c>
      <c r="CN19" s="682">
        <f t="shared" si="92"/>
        <v>0</v>
      </c>
      <c r="CO19" s="124">
        <f t="shared" si="93"/>
        <v>0</v>
      </c>
      <c r="CP19" s="125">
        <f t="shared" si="94"/>
        <v>0</v>
      </c>
      <c r="CQ19" s="103" t="b">
        <f t="shared" si="95"/>
        <v>0</v>
      </c>
      <c r="CR19" s="96" t="b">
        <f t="shared" si="96"/>
        <v>0</v>
      </c>
      <c r="CS19" s="97">
        <f t="shared" si="97"/>
        <v>0</v>
      </c>
      <c r="CT19" s="98">
        <f t="shared" si="98"/>
        <v>0</v>
      </c>
      <c r="CU19" s="682">
        <f t="shared" si="99"/>
        <v>0</v>
      </c>
      <c r="CV19" s="99">
        <f t="shared" si="100"/>
        <v>0</v>
      </c>
      <c r="CW19" s="100">
        <f t="shared" si="101"/>
        <v>1</v>
      </c>
      <c r="CX19" s="101" t="b">
        <f t="shared" si="102"/>
        <v>0</v>
      </c>
      <c r="CY19" s="99">
        <f t="shared" si="103"/>
        <v>0</v>
      </c>
      <c r="CZ19" s="100">
        <f t="shared" si="104"/>
        <v>1</v>
      </c>
      <c r="DA19" s="101" t="b">
        <f t="shared" si="105"/>
        <v>0</v>
      </c>
      <c r="DB19" s="102">
        <f t="shared" si="106"/>
        <v>0</v>
      </c>
      <c r="DC19" s="683">
        <f t="shared" si="107"/>
        <v>0</v>
      </c>
      <c r="DD19" s="123">
        <f t="shared" si="108"/>
        <v>3.125E-2</v>
      </c>
      <c r="DE19" s="104">
        <f t="shared" si="109"/>
        <v>0</v>
      </c>
      <c r="DG19" s="58">
        <v>2022</v>
      </c>
      <c r="DH19" s="144"/>
      <c r="DI19" s="144"/>
      <c r="DJ19" s="144"/>
      <c r="DK19" s="144"/>
      <c r="DL19" s="117" t="s">
        <v>594</v>
      </c>
      <c r="DM19" s="134" t="str">
        <f>IF(祝日表!B21="","",祝日表!B21)</f>
        <v/>
      </c>
      <c r="DN19" s="148"/>
      <c r="DO19" s="148"/>
      <c r="DP19" s="148"/>
      <c r="DQ19" s="148"/>
      <c r="DR19" s="162"/>
      <c r="DS19" s="151"/>
      <c r="DT19" s="58">
        <v>16</v>
      </c>
      <c r="DU19" s="120">
        <f t="shared" ref="DU19:DU24" si="111">DATE($A$1,DT$16,DT19)</f>
        <v>44181</v>
      </c>
      <c r="DV19" s="51">
        <f t="shared" ref="DV19:DV24" si="112">WEEKDAY(DU19,1)</f>
        <v>4</v>
      </c>
      <c r="DW19" s="144"/>
      <c r="DX19" s="152"/>
      <c r="DY19" s="139">
        <f t="shared" si="2"/>
        <v>0</v>
      </c>
      <c r="DZ19" s="119">
        <f t="shared" si="110"/>
        <v>0</v>
      </c>
      <c r="EA19" s="51">
        <f t="shared" si="27"/>
        <v>0</v>
      </c>
      <c r="EB19" s="144"/>
      <c r="EC19" s="51">
        <f t="shared" si="28"/>
        <v>1</v>
      </c>
      <c r="ED19" s="144"/>
      <c r="EE19" s="622"/>
      <c r="EF19" s="622"/>
      <c r="EG19" s="622"/>
      <c r="EH19" s="622"/>
    </row>
    <row r="20" spans="1:138" ht="15" customHeight="1">
      <c r="A20" s="428">
        <f t="shared" si="29"/>
        <v>44413</v>
      </c>
      <c r="B20" s="132" t="str">
        <f t="shared" si="30"/>
        <v>木</v>
      </c>
      <c r="C20" s="129" t="str">
        <f t="shared" si="3"/>
        <v/>
      </c>
      <c r="D20" s="240">
        <v>0.47916666666666669</v>
      </c>
      <c r="E20" s="239">
        <f t="shared" si="4"/>
        <v>0.47916666666666663</v>
      </c>
      <c r="F20" s="241">
        <v>0.77083333333333337</v>
      </c>
      <c r="G20" s="239">
        <f t="shared" si="5"/>
        <v>0.77083333333333326</v>
      </c>
      <c r="H20" s="92">
        <f t="shared" si="31"/>
        <v>0.29166666666666663</v>
      </c>
      <c r="I20" s="93">
        <f t="shared" si="32"/>
        <v>3.125E-2</v>
      </c>
      <c r="J20" s="184">
        <f t="shared" si="6"/>
        <v>0.26041666666666663</v>
      </c>
      <c r="K20" s="194">
        <f t="shared" si="7"/>
        <v>0</v>
      </c>
      <c r="L20" s="357">
        <f t="shared" si="8"/>
        <v>0.47916666666666663</v>
      </c>
      <c r="M20" s="184">
        <f t="shared" si="9"/>
        <v>0</v>
      </c>
      <c r="N20" s="93">
        <f t="shared" si="1"/>
        <v>0</v>
      </c>
      <c r="O20" s="94">
        <f t="shared" si="10"/>
        <v>0</v>
      </c>
      <c r="P20" s="225"/>
      <c r="Q20" s="346" t="s">
        <v>592</v>
      </c>
      <c r="R20" s="298">
        <f t="shared" si="11"/>
        <v>0</v>
      </c>
      <c r="S20" s="138">
        <f t="shared" si="12"/>
        <v>0</v>
      </c>
      <c r="T20" s="298">
        <f t="shared" si="13"/>
        <v>0</v>
      </c>
      <c r="U20" s="298">
        <f t="shared" si="14"/>
        <v>0</v>
      </c>
      <c r="V20" s="298">
        <f t="shared" si="15"/>
        <v>1</v>
      </c>
      <c r="W20" s="138">
        <f t="shared" si="16"/>
        <v>0</v>
      </c>
      <c r="X20" s="138">
        <f t="shared" si="17"/>
        <v>0</v>
      </c>
      <c r="Y20" s="138">
        <f t="shared" si="18"/>
        <v>0</v>
      </c>
      <c r="Z20" s="138">
        <f t="shared" si="19"/>
        <v>0</v>
      </c>
      <c r="AA20" s="138">
        <f t="shared" si="20"/>
        <v>0</v>
      </c>
      <c r="AB20" s="138">
        <f t="shared" si="21"/>
        <v>0</v>
      </c>
      <c r="AC20" s="138">
        <f t="shared" si="22"/>
        <v>0</v>
      </c>
      <c r="AD20" s="138">
        <f t="shared" si="23"/>
        <v>0</v>
      </c>
      <c r="AE20" s="342"/>
      <c r="AF20" s="544" t="s">
        <v>595</v>
      </c>
      <c r="AG20" s="124">
        <f t="shared" si="33"/>
        <v>0.54166666666666663</v>
      </c>
      <c r="AH20" s="125">
        <f t="shared" si="34"/>
        <v>0.57291666666666663</v>
      </c>
      <c r="AI20" s="95" t="b">
        <f t="shared" si="35"/>
        <v>0</v>
      </c>
      <c r="AJ20" s="96" t="b">
        <f t="shared" si="36"/>
        <v>0</v>
      </c>
      <c r="AK20" s="97">
        <f t="shared" si="37"/>
        <v>3.125E-2</v>
      </c>
      <c r="AL20" s="98">
        <f t="shared" si="38"/>
        <v>3.125E-2</v>
      </c>
      <c r="AM20" s="682">
        <f t="shared" si="39"/>
        <v>0</v>
      </c>
      <c r="AN20" s="99">
        <f t="shared" si="40"/>
        <v>1</v>
      </c>
      <c r="AO20" s="100">
        <f t="shared" si="41"/>
        <v>1</v>
      </c>
      <c r="AP20" s="101" t="b">
        <f t="shared" si="42"/>
        <v>1</v>
      </c>
      <c r="AQ20" s="99">
        <f t="shared" si="43"/>
        <v>1</v>
      </c>
      <c r="AR20" s="100">
        <f t="shared" si="44"/>
        <v>1</v>
      </c>
      <c r="AS20" s="101" t="b">
        <f t="shared" si="45"/>
        <v>1</v>
      </c>
      <c r="AT20" s="102">
        <f t="shared" si="46"/>
        <v>3.125E-2</v>
      </c>
      <c r="AU20" s="682">
        <f t="shared" si="47"/>
        <v>0</v>
      </c>
      <c r="AV20" s="124">
        <f t="shared" si="48"/>
        <v>0.875</v>
      </c>
      <c r="AW20" s="125">
        <f t="shared" si="49"/>
        <v>0.89583333333333337</v>
      </c>
      <c r="AX20" s="95" t="b">
        <f t="shared" si="50"/>
        <v>0</v>
      </c>
      <c r="AY20" s="96" t="b">
        <f t="shared" si="51"/>
        <v>0</v>
      </c>
      <c r="AZ20" s="97">
        <f t="shared" si="52"/>
        <v>2.083333333333337E-2</v>
      </c>
      <c r="BA20" s="98">
        <f t="shared" si="53"/>
        <v>2.083333333333337E-2</v>
      </c>
      <c r="BB20" s="682">
        <f t="shared" si="54"/>
        <v>0</v>
      </c>
      <c r="BC20" s="99">
        <f t="shared" si="55"/>
        <v>1</v>
      </c>
      <c r="BD20" s="100">
        <f t="shared" si="56"/>
        <v>0</v>
      </c>
      <c r="BE20" s="101" t="b">
        <f t="shared" si="57"/>
        <v>0</v>
      </c>
      <c r="BF20" s="99">
        <f t="shared" si="58"/>
        <v>1</v>
      </c>
      <c r="BG20" s="100">
        <f t="shared" si="59"/>
        <v>0</v>
      </c>
      <c r="BH20" s="101" t="b">
        <f t="shared" si="60"/>
        <v>0</v>
      </c>
      <c r="BI20" s="102">
        <f t="shared" si="61"/>
        <v>0</v>
      </c>
      <c r="BJ20" s="682">
        <f t="shared" si="62"/>
        <v>0</v>
      </c>
      <c r="BK20" s="124">
        <f t="shared" si="63"/>
        <v>0</v>
      </c>
      <c r="BL20" s="125">
        <f t="shared" si="64"/>
        <v>0</v>
      </c>
      <c r="BM20" s="95" t="b">
        <f t="shared" si="65"/>
        <v>0</v>
      </c>
      <c r="BN20" s="96" t="b">
        <f t="shared" si="66"/>
        <v>0</v>
      </c>
      <c r="BO20" s="97">
        <f t="shared" si="67"/>
        <v>0</v>
      </c>
      <c r="BP20" s="98">
        <f t="shared" si="68"/>
        <v>0</v>
      </c>
      <c r="BQ20" s="682">
        <f t="shared" si="69"/>
        <v>0</v>
      </c>
      <c r="BR20" s="99">
        <f t="shared" si="70"/>
        <v>0</v>
      </c>
      <c r="BS20" s="100">
        <f t="shared" si="71"/>
        <v>1</v>
      </c>
      <c r="BT20" s="101" t="b">
        <f t="shared" si="72"/>
        <v>0</v>
      </c>
      <c r="BU20" s="99">
        <f t="shared" si="73"/>
        <v>0</v>
      </c>
      <c r="BV20" s="100">
        <f t="shared" si="74"/>
        <v>1</v>
      </c>
      <c r="BW20" s="101" t="b">
        <f t="shared" si="75"/>
        <v>0</v>
      </c>
      <c r="BX20" s="102">
        <f t="shared" si="76"/>
        <v>0</v>
      </c>
      <c r="BY20" s="682">
        <f t="shared" si="77"/>
        <v>0</v>
      </c>
      <c r="BZ20" s="124">
        <f t="shared" si="78"/>
        <v>0</v>
      </c>
      <c r="CA20" s="125">
        <f t="shared" si="79"/>
        <v>0</v>
      </c>
      <c r="CB20" s="95" t="b">
        <f t="shared" si="80"/>
        <v>0</v>
      </c>
      <c r="CC20" s="96" t="b">
        <f t="shared" si="81"/>
        <v>0</v>
      </c>
      <c r="CD20" s="97">
        <f t="shared" si="82"/>
        <v>0</v>
      </c>
      <c r="CE20" s="98">
        <f t="shared" si="83"/>
        <v>0</v>
      </c>
      <c r="CF20" s="682">
        <f t="shared" si="84"/>
        <v>0</v>
      </c>
      <c r="CG20" s="99">
        <f t="shared" si="85"/>
        <v>0</v>
      </c>
      <c r="CH20" s="100">
        <f t="shared" si="86"/>
        <v>1</v>
      </c>
      <c r="CI20" s="101" t="b">
        <f t="shared" si="87"/>
        <v>0</v>
      </c>
      <c r="CJ20" s="99">
        <f t="shared" si="88"/>
        <v>0</v>
      </c>
      <c r="CK20" s="100">
        <f t="shared" si="89"/>
        <v>1</v>
      </c>
      <c r="CL20" s="101" t="b">
        <f t="shared" si="90"/>
        <v>0</v>
      </c>
      <c r="CM20" s="102">
        <f t="shared" si="91"/>
        <v>0</v>
      </c>
      <c r="CN20" s="682">
        <f t="shared" si="92"/>
        <v>0</v>
      </c>
      <c r="CO20" s="124">
        <f t="shared" si="93"/>
        <v>0</v>
      </c>
      <c r="CP20" s="125">
        <f t="shared" si="94"/>
        <v>0</v>
      </c>
      <c r="CQ20" s="103" t="b">
        <f t="shared" si="95"/>
        <v>0</v>
      </c>
      <c r="CR20" s="96" t="b">
        <f t="shared" si="96"/>
        <v>0</v>
      </c>
      <c r="CS20" s="97">
        <f t="shared" si="97"/>
        <v>0</v>
      </c>
      <c r="CT20" s="98">
        <f t="shared" si="98"/>
        <v>0</v>
      </c>
      <c r="CU20" s="682">
        <f t="shared" si="99"/>
        <v>0</v>
      </c>
      <c r="CV20" s="99">
        <f t="shared" si="100"/>
        <v>0</v>
      </c>
      <c r="CW20" s="100">
        <f t="shared" si="101"/>
        <v>1</v>
      </c>
      <c r="CX20" s="101" t="b">
        <f t="shared" si="102"/>
        <v>0</v>
      </c>
      <c r="CY20" s="99">
        <f t="shared" si="103"/>
        <v>0</v>
      </c>
      <c r="CZ20" s="100">
        <f t="shared" si="104"/>
        <v>1</v>
      </c>
      <c r="DA20" s="101" t="b">
        <f t="shared" si="105"/>
        <v>0</v>
      </c>
      <c r="DB20" s="102">
        <f t="shared" si="106"/>
        <v>0</v>
      </c>
      <c r="DC20" s="683">
        <f t="shared" si="107"/>
        <v>0</v>
      </c>
      <c r="DD20" s="123">
        <f t="shared" si="108"/>
        <v>3.125E-2</v>
      </c>
      <c r="DE20" s="104">
        <f t="shared" si="109"/>
        <v>0</v>
      </c>
      <c r="DG20" s="58">
        <v>2023</v>
      </c>
      <c r="DH20" s="144"/>
      <c r="DI20" s="144"/>
      <c r="DJ20" s="144"/>
      <c r="DK20" s="144"/>
      <c r="DL20" s="117" t="s">
        <v>594</v>
      </c>
      <c r="DM20" s="134" t="str">
        <f>IF(祝日表!B22="","",祝日表!B22)</f>
        <v/>
      </c>
      <c r="DN20" s="148"/>
      <c r="DO20" s="148"/>
      <c r="DP20" s="148"/>
      <c r="DQ20" s="148"/>
      <c r="DR20" s="162"/>
      <c r="DS20" s="151"/>
      <c r="DT20" s="58">
        <v>17</v>
      </c>
      <c r="DU20" s="120">
        <f t="shared" si="111"/>
        <v>44182</v>
      </c>
      <c r="DV20" s="51">
        <f t="shared" si="112"/>
        <v>5</v>
      </c>
      <c r="DW20" s="144"/>
      <c r="DX20" s="152"/>
      <c r="DY20" s="139">
        <f t="shared" si="2"/>
        <v>0</v>
      </c>
      <c r="DZ20" s="119">
        <f t="shared" si="110"/>
        <v>0</v>
      </c>
      <c r="EA20" s="51">
        <f t="shared" si="27"/>
        <v>0</v>
      </c>
      <c r="EB20" s="144"/>
      <c r="EC20" s="51">
        <f t="shared" si="28"/>
        <v>1</v>
      </c>
      <c r="ED20" s="144"/>
      <c r="EE20" s="622"/>
      <c r="EF20" s="622"/>
      <c r="EG20" s="622"/>
      <c r="EH20" s="622"/>
    </row>
    <row r="21" spans="1:138" ht="15" customHeight="1">
      <c r="A21" s="428">
        <f t="shared" si="29"/>
        <v>44414</v>
      </c>
      <c r="B21" s="132" t="str">
        <f t="shared" si="30"/>
        <v>金</v>
      </c>
      <c r="C21" s="129" t="str">
        <f t="shared" si="3"/>
        <v/>
      </c>
      <c r="D21" s="240">
        <v>0.35416666666666669</v>
      </c>
      <c r="E21" s="239">
        <f t="shared" si="4"/>
        <v>0.35416666666666663</v>
      </c>
      <c r="F21" s="241">
        <v>0.71875</v>
      </c>
      <c r="G21" s="239">
        <f t="shared" si="5"/>
        <v>0.71875</v>
      </c>
      <c r="H21" s="92">
        <f t="shared" si="31"/>
        <v>0.36458333333333337</v>
      </c>
      <c r="I21" s="93">
        <f t="shared" si="32"/>
        <v>3.125E-2</v>
      </c>
      <c r="J21" s="184">
        <f t="shared" si="6"/>
        <v>0.33333333333333331</v>
      </c>
      <c r="K21" s="194">
        <f t="shared" si="7"/>
        <v>0</v>
      </c>
      <c r="L21" s="357">
        <f t="shared" si="8"/>
        <v>0.35416666666666663</v>
      </c>
      <c r="M21" s="184">
        <f t="shared" si="9"/>
        <v>0</v>
      </c>
      <c r="N21" s="93">
        <f t="shared" si="1"/>
        <v>0</v>
      </c>
      <c r="O21" s="94">
        <f t="shared" si="10"/>
        <v>0</v>
      </c>
      <c r="P21" s="225"/>
      <c r="Q21" s="346"/>
      <c r="R21" s="298">
        <f t="shared" si="11"/>
        <v>0</v>
      </c>
      <c r="S21" s="138">
        <f t="shared" si="12"/>
        <v>0</v>
      </c>
      <c r="T21" s="298">
        <f t="shared" si="13"/>
        <v>0</v>
      </c>
      <c r="U21" s="298">
        <f t="shared" si="14"/>
        <v>0</v>
      </c>
      <c r="V21" s="298">
        <f t="shared" si="15"/>
        <v>0</v>
      </c>
      <c r="W21" s="138">
        <f t="shared" si="16"/>
        <v>0</v>
      </c>
      <c r="X21" s="138">
        <f t="shared" si="17"/>
        <v>0</v>
      </c>
      <c r="Y21" s="138">
        <f t="shared" si="18"/>
        <v>0</v>
      </c>
      <c r="Z21" s="138">
        <f t="shared" si="19"/>
        <v>0</v>
      </c>
      <c r="AA21" s="138">
        <f t="shared" si="20"/>
        <v>0</v>
      </c>
      <c r="AB21" s="138">
        <f t="shared" si="21"/>
        <v>0</v>
      </c>
      <c r="AC21" s="138">
        <f t="shared" si="22"/>
        <v>0</v>
      </c>
      <c r="AD21" s="138">
        <f t="shared" si="23"/>
        <v>0</v>
      </c>
      <c r="AE21" s="342"/>
      <c r="AF21" s="544"/>
      <c r="AG21" s="124">
        <f t="shared" si="33"/>
        <v>0.54166666666666663</v>
      </c>
      <c r="AH21" s="125">
        <f t="shared" si="34"/>
        <v>0.57291666666666663</v>
      </c>
      <c r="AI21" s="95" t="b">
        <f t="shared" si="35"/>
        <v>0</v>
      </c>
      <c r="AJ21" s="96" t="b">
        <f t="shared" si="36"/>
        <v>0</v>
      </c>
      <c r="AK21" s="97">
        <f t="shared" si="37"/>
        <v>3.125E-2</v>
      </c>
      <c r="AL21" s="98">
        <f t="shared" si="38"/>
        <v>3.125E-2</v>
      </c>
      <c r="AM21" s="682">
        <f t="shared" si="39"/>
        <v>0</v>
      </c>
      <c r="AN21" s="99">
        <f t="shared" si="40"/>
        <v>1</v>
      </c>
      <c r="AO21" s="100">
        <f t="shared" si="41"/>
        <v>1</v>
      </c>
      <c r="AP21" s="101" t="b">
        <f t="shared" si="42"/>
        <v>1</v>
      </c>
      <c r="AQ21" s="99">
        <f t="shared" si="43"/>
        <v>1</v>
      </c>
      <c r="AR21" s="100">
        <f t="shared" si="44"/>
        <v>1</v>
      </c>
      <c r="AS21" s="101" t="b">
        <f t="shared" si="45"/>
        <v>1</v>
      </c>
      <c r="AT21" s="102">
        <f t="shared" si="46"/>
        <v>3.125E-2</v>
      </c>
      <c r="AU21" s="682">
        <f t="shared" si="47"/>
        <v>0</v>
      </c>
      <c r="AV21" s="124">
        <f t="shared" si="48"/>
        <v>0.875</v>
      </c>
      <c r="AW21" s="125">
        <f t="shared" si="49"/>
        <v>0.89583333333333337</v>
      </c>
      <c r="AX21" s="95" t="b">
        <f t="shared" si="50"/>
        <v>0</v>
      </c>
      <c r="AY21" s="96" t="b">
        <f t="shared" si="51"/>
        <v>0</v>
      </c>
      <c r="AZ21" s="97">
        <f t="shared" si="52"/>
        <v>2.083333333333337E-2</v>
      </c>
      <c r="BA21" s="98">
        <f t="shared" si="53"/>
        <v>2.083333333333337E-2</v>
      </c>
      <c r="BB21" s="682">
        <f t="shared" si="54"/>
        <v>0</v>
      </c>
      <c r="BC21" s="99">
        <f t="shared" si="55"/>
        <v>1</v>
      </c>
      <c r="BD21" s="100">
        <f t="shared" si="56"/>
        <v>0</v>
      </c>
      <c r="BE21" s="101" t="b">
        <f t="shared" si="57"/>
        <v>0</v>
      </c>
      <c r="BF21" s="99">
        <f t="shared" si="58"/>
        <v>1</v>
      </c>
      <c r="BG21" s="100">
        <f t="shared" si="59"/>
        <v>0</v>
      </c>
      <c r="BH21" s="101" t="b">
        <f t="shared" si="60"/>
        <v>0</v>
      </c>
      <c r="BI21" s="102">
        <f t="shared" si="61"/>
        <v>0</v>
      </c>
      <c r="BJ21" s="682">
        <f t="shared" si="62"/>
        <v>0</v>
      </c>
      <c r="BK21" s="124">
        <f t="shared" si="63"/>
        <v>0</v>
      </c>
      <c r="BL21" s="125">
        <f t="shared" si="64"/>
        <v>0</v>
      </c>
      <c r="BM21" s="95" t="b">
        <f t="shared" si="65"/>
        <v>0</v>
      </c>
      <c r="BN21" s="96" t="b">
        <f t="shared" si="66"/>
        <v>0</v>
      </c>
      <c r="BO21" s="97">
        <f t="shared" si="67"/>
        <v>0</v>
      </c>
      <c r="BP21" s="98">
        <f t="shared" si="68"/>
        <v>0</v>
      </c>
      <c r="BQ21" s="682">
        <f t="shared" si="69"/>
        <v>0</v>
      </c>
      <c r="BR21" s="99">
        <f t="shared" si="70"/>
        <v>0</v>
      </c>
      <c r="BS21" s="100">
        <f t="shared" si="71"/>
        <v>1</v>
      </c>
      <c r="BT21" s="101" t="b">
        <f t="shared" si="72"/>
        <v>0</v>
      </c>
      <c r="BU21" s="99">
        <f t="shared" si="73"/>
        <v>0</v>
      </c>
      <c r="BV21" s="100">
        <f t="shared" si="74"/>
        <v>1</v>
      </c>
      <c r="BW21" s="101" t="b">
        <f t="shared" si="75"/>
        <v>0</v>
      </c>
      <c r="BX21" s="102">
        <f t="shared" si="76"/>
        <v>0</v>
      </c>
      <c r="BY21" s="682">
        <f t="shared" si="77"/>
        <v>0</v>
      </c>
      <c r="BZ21" s="124">
        <f t="shared" si="78"/>
        <v>0</v>
      </c>
      <c r="CA21" s="125">
        <f t="shared" si="79"/>
        <v>0</v>
      </c>
      <c r="CB21" s="95" t="b">
        <f t="shared" si="80"/>
        <v>0</v>
      </c>
      <c r="CC21" s="96" t="b">
        <f t="shared" si="81"/>
        <v>0</v>
      </c>
      <c r="CD21" s="97">
        <f t="shared" si="82"/>
        <v>0</v>
      </c>
      <c r="CE21" s="98">
        <f t="shared" si="83"/>
        <v>0</v>
      </c>
      <c r="CF21" s="682">
        <f t="shared" si="84"/>
        <v>0</v>
      </c>
      <c r="CG21" s="99">
        <f t="shared" si="85"/>
        <v>0</v>
      </c>
      <c r="CH21" s="100">
        <f t="shared" si="86"/>
        <v>1</v>
      </c>
      <c r="CI21" s="101" t="b">
        <f t="shared" si="87"/>
        <v>0</v>
      </c>
      <c r="CJ21" s="99">
        <f t="shared" si="88"/>
        <v>0</v>
      </c>
      <c r="CK21" s="100">
        <f t="shared" si="89"/>
        <v>1</v>
      </c>
      <c r="CL21" s="101" t="b">
        <f t="shared" si="90"/>
        <v>0</v>
      </c>
      <c r="CM21" s="102">
        <f t="shared" si="91"/>
        <v>0</v>
      </c>
      <c r="CN21" s="682">
        <f t="shared" si="92"/>
        <v>0</v>
      </c>
      <c r="CO21" s="124">
        <f t="shared" si="93"/>
        <v>0</v>
      </c>
      <c r="CP21" s="125">
        <f t="shared" si="94"/>
        <v>0</v>
      </c>
      <c r="CQ21" s="103" t="b">
        <f t="shared" si="95"/>
        <v>0</v>
      </c>
      <c r="CR21" s="96" t="b">
        <f t="shared" si="96"/>
        <v>0</v>
      </c>
      <c r="CS21" s="97">
        <f t="shared" si="97"/>
        <v>0</v>
      </c>
      <c r="CT21" s="98">
        <f t="shared" si="98"/>
        <v>0</v>
      </c>
      <c r="CU21" s="682">
        <f t="shared" si="99"/>
        <v>0</v>
      </c>
      <c r="CV21" s="99">
        <f t="shared" si="100"/>
        <v>0</v>
      </c>
      <c r="CW21" s="100">
        <f t="shared" si="101"/>
        <v>1</v>
      </c>
      <c r="CX21" s="101" t="b">
        <f t="shared" si="102"/>
        <v>0</v>
      </c>
      <c r="CY21" s="99">
        <f t="shared" si="103"/>
        <v>0</v>
      </c>
      <c r="CZ21" s="100">
        <f t="shared" si="104"/>
        <v>1</v>
      </c>
      <c r="DA21" s="101" t="b">
        <f t="shared" si="105"/>
        <v>0</v>
      </c>
      <c r="DB21" s="102">
        <f t="shared" si="106"/>
        <v>0</v>
      </c>
      <c r="DC21" s="683">
        <f t="shared" si="107"/>
        <v>0</v>
      </c>
      <c r="DD21" s="123">
        <f t="shared" si="108"/>
        <v>3.125E-2</v>
      </c>
      <c r="DE21" s="104">
        <f t="shared" si="109"/>
        <v>0</v>
      </c>
      <c r="DG21" s="58">
        <v>2024</v>
      </c>
      <c r="DH21" s="144"/>
      <c r="DI21" s="144"/>
      <c r="DJ21" s="144"/>
      <c r="DK21" s="144"/>
      <c r="DL21" s="117" t="s">
        <v>594</v>
      </c>
      <c r="DM21" s="134" t="str">
        <f>IF(祝日表!B23="","",祝日表!B23)</f>
        <v/>
      </c>
      <c r="DN21" s="148"/>
      <c r="DO21" s="148"/>
      <c r="DP21" s="148"/>
      <c r="DQ21" s="148"/>
      <c r="DR21" s="162"/>
      <c r="DS21" s="151"/>
      <c r="DT21" s="58">
        <v>18</v>
      </c>
      <c r="DU21" s="120">
        <f t="shared" si="111"/>
        <v>44183</v>
      </c>
      <c r="DV21" s="51">
        <f t="shared" si="112"/>
        <v>6</v>
      </c>
      <c r="DW21" s="144"/>
      <c r="DX21" s="152"/>
      <c r="DY21" s="139">
        <f t="shared" si="2"/>
        <v>0</v>
      </c>
      <c r="DZ21" s="119">
        <f t="shared" si="110"/>
        <v>0</v>
      </c>
      <c r="EA21" s="51">
        <f t="shared" si="27"/>
        <v>0</v>
      </c>
      <c r="EB21" s="144"/>
      <c r="EC21" s="51">
        <f t="shared" si="28"/>
        <v>1</v>
      </c>
      <c r="ED21" s="144"/>
      <c r="EE21" s="622"/>
      <c r="EF21" s="622"/>
      <c r="EG21" s="622"/>
      <c r="EH21" s="622"/>
    </row>
    <row r="22" spans="1:138" ht="15" customHeight="1">
      <c r="A22" s="428">
        <f t="shared" si="29"/>
        <v>44415</v>
      </c>
      <c r="B22" s="132" t="str">
        <f t="shared" si="30"/>
        <v>土</v>
      </c>
      <c r="C22" s="129" t="str">
        <f t="shared" si="3"/>
        <v/>
      </c>
      <c r="D22" s="240"/>
      <c r="E22" s="239">
        <f t="shared" si="4"/>
        <v>0</v>
      </c>
      <c r="F22" s="241"/>
      <c r="G22" s="239">
        <f t="shared" si="5"/>
        <v>0</v>
      </c>
      <c r="H22" s="92">
        <f t="shared" si="31"/>
        <v>0</v>
      </c>
      <c r="I22" s="93">
        <f t="shared" si="32"/>
        <v>0</v>
      </c>
      <c r="J22" s="184">
        <f t="shared" si="6"/>
        <v>0</v>
      </c>
      <c r="K22" s="194">
        <f t="shared" si="7"/>
        <v>0</v>
      </c>
      <c r="L22" s="357">
        <f t="shared" si="8"/>
        <v>0</v>
      </c>
      <c r="M22" s="184">
        <f t="shared" si="9"/>
        <v>0</v>
      </c>
      <c r="N22" s="93">
        <f t="shared" si="1"/>
        <v>0</v>
      </c>
      <c r="O22" s="94">
        <f t="shared" si="10"/>
        <v>0</v>
      </c>
      <c r="P22" s="225"/>
      <c r="Q22" s="564"/>
      <c r="R22" s="298">
        <f t="shared" si="11"/>
        <v>0</v>
      </c>
      <c r="S22" s="138">
        <f t="shared" si="12"/>
        <v>0</v>
      </c>
      <c r="T22" s="298">
        <f t="shared" si="13"/>
        <v>0</v>
      </c>
      <c r="U22" s="298">
        <f t="shared" si="14"/>
        <v>0</v>
      </c>
      <c r="V22" s="298">
        <f t="shared" si="15"/>
        <v>0</v>
      </c>
      <c r="W22" s="138">
        <f t="shared" si="16"/>
        <v>0</v>
      </c>
      <c r="X22" s="138">
        <f t="shared" si="17"/>
        <v>0</v>
      </c>
      <c r="Y22" s="138">
        <f t="shared" si="18"/>
        <v>0</v>
      </c>
      <c r="Z22" s="138">
        <f t="shared" si="19"/>
        <v>0</v>
      </c>
      <c r="AA22" s="138">
        <f t="shared" si="20"/>
        <v>0</v>
      </c>
      <c r="AB22" s="138">
        <f t="shared" si="21"/>
        <v>0</v>
      </c>
      <c r="AC22" s="138">
        <f t="shared" si="22"/>
        <v>0</v>
      </c>
      <c r="AD22" s="138">
        <f t="shared" si="23"/>
        <v>0</v>
      </c>
      <c r="AE22" s="342"/>
      <c r="AF22" s="544"/>
      <c r="AG22" s="124">
        <f t="shared" si="33"/>
        <v>0.54166666666666663</v>
      </c>
      <c r="AH22" s="125">
        <f t="shared" si="34"/>
        <v>0.57291666666666663</v>
      </c>
      <c r="AI22" s="95" t="b">
        <f t="shared" si="35"/>
        <v>0</v>
      </c>
      <c r="AJ22" s="96" t="b">
        <f t="shared" si="36"/>
        <v>0</v>
      </c>
      <c r="AK22" s="97">
        <f t="shared" si="37"/>
        <v>3.125E-2</v>
      </c>
      <c r="AL22" s="98">
        <f t="shared" si="38"/>
        <v>3.125E-2</v>
      </c>
      <c r="AM22" s="682">
        <f t="shared" si="39"/>
        <v>0</v>
      </c>
      <c r="AN22" s="99">
        <f t="shared" si="40"/>
        <v>1</v>
      </c>
      <c r="AO22" s="100">
        <f t="shared" si="41"/>
        <v>0</v>
      </c>
      <c r="AP22" s="101" t="b">
        <f t="shared" si="42"/>
        <v>0</v>
      </c>
      <c r="AQ22" s="99">
        <f t="shared" si="43"/>
        <v>1</v>
      </c>
      <c r="AR22" s="100">
        <f t="shared" si="44"/>
        <v>0</v>
      </c>
      <c r="AS22" s="101" t="b">
        <f t="shared" si="45"/>
        <v>0</v>
      </c>
      <c r="AT22" s="102">
        <f t="shared" si="46"/>
        <v>0</v>
      </c>
      <c r="AU22" s="682">
        <f t="shared" si="47"/>
        <v>0</v>
      </c>
      <c r="AV22" s="124">
        <f t="shared" si="48"/>
        <v>0.875</v>
      </c>
      <c r="AW22" s="125">
        <f t="shared" si="49"/>
        <v>0.89583333333333337</v>
      </c>
      <c r="AX22" s="95" t="b">
        <f t="shared" si="50"/>
        <v>0</v>
      </c>
      <c r="AY22" s="96" t="b">
        <f t="shared" si="51"/>
        <v>0</v>
      </c>
      <c r="AZ22" s="97">
        <f t="shared" si="52"/>
        <v>2.083333333333337E-2</v>
      </c>
      <c r="BA22" s="98">
        <f t="shared" si="53"/>
        <v>2.083333333333337E-2</v>
      </c>
      <c r="BB22" s="682">
        <f t="shared" si="54"/>
        <v>0</v>
      </c>
      <c r="BC22" s="99">
        <f t="shared" si="55"/>
        <v>1</v>
      </c>
      <c r="BD22" s="100">
        <f t="shared" si="56"/>
        <v>0</v>
      </c>
      <c r="BE22" s="101" t="b">
        <f t="shared" si="57"/>
        <v>0</v>
      </c>
      <c r="BF22" s="99">
        <f t="shared" si="58"/>
        <v>1</v>
      </c>
      <c r="BG22" s="100">
        <f t="shared" si="59"/>
        <v>0</v>
      </c>
      <c r="BH22" s="101" t="b">
        <f t="shared" si="60"/>
        <v>0</v>
      </c>
      <c r="BI22" s="102">
        <f t="shared" si="61"/>
        <v>0</v>
      </c>
      <c r="BJ22" s="682">
        <f t="shared" si="62"/>
        <v>0</v>
      </c>
      <c r="BK22" s="124">
        <f t="shared" si="63"/>
        <v>0</v>
      </c>
      <c r="BL22" s="125">
        <f t="shared" si="64"/>
        <v>0</v>
      </c>
      <c r="BM22" s="95" t="b">
        <f t="shared" si="65"/>
        <v>0</v>
      </c>
      <c r="BN22" s="96" t="b">
        <f t="shared" si="66"/>
        <v>0</v>
      </c>
      <c r="BO22" s="97">
        <f t="shared" si="67"/>
        <v>0</v>
      </c>
      <c r="BP22" s="98">
        <f t="shared" si="68"/>
        <v>0</v>
      </c>
      <c r="BQ22" s="682">
        <f t="shared" si="69"/>
        <v>0</v>
      </c>
      <c r="BR22" s="99">
        <f t="shared" si="70"/>
        <v>1</v>
      </c>
      <c r="BS22" s="100">
        <f t="shared" si="71"/>
        <v>0</v>
      </c>
      <c r="BT22" s="101" t="b">
        <f t="shared" si="72"/>
        <v>0</v>
      </c>
      <c r="BU22" s="99">
        <f t="shared" si="73"/>
        <v>0</v>
      </c>
      <c r="BV22" s="100">
        <f t="shared" si="74"/>
        <v>1</v>
      </c>
      <c r="BW22" s="101" t="b">
        <f t="shared" si="75"/>
        <v>0</v>
      </c>
      <c r="BX22" s="102">
        <f t="shared" si="76"/>
        <v>0</v>
      </c>
      <c r="BY22" s="682">
        <f t="shared" si="77"/>
        <v>0</v>
      </c>
      <c r="BZ22" s="124">
        <f t="shared" si="78"/>
        <v>0</v>
      </c>
      <c r="CA22" s="125">
        <f t="shared" si="79"/>
        <v>0</v>
      </c>
      <c r="CB22" s="95" t="b">
        <f t="shared" si="80"/>
        <v>0</v>
      </c>
      <c r="CC22" s="96" t="b">
        <f t="shared" si="81"/>
        <v>0</v>
      </c>
      <c r="CD22" s="97">
        <f t="shared" si="82"/>
        <v>0</v>
      </c>
      <c r="CE22" s="98">
        <f t="shared" si="83"/>
        <v>0</v>
      </c>
      <c r="CF22" s="682">
        <f t="shared" si="84"/>
        <v>0</v>
      </c>
      <c r="CG22" s="99">
        <f t="shared" si="85"/>
        <v>1</v>
      </c>
      <c r="CH22" s="100">
        <f t="shared" si="86"/>
        <v>0</v>
      </c>
      <c r="CI22" s="101" t="b">
        <f t="shared" si="87"/>
        <v>0</v>
      </c>
      <c r="CJ22" s="99">
        <f t="shared" si="88"/>
        <v>0</v>
      </c>
      <c r="CK22" s="100">
        <f t="shared" si="89"/>
        <v>1</v>
      </c>
      <c r="CL22" s="101" t="b">
        <f t="shared" si="90"/>
        <v>0</v>
      </c>
      <c r="CM22" s="102">
        <f t="shared" si="91"/>
        <v>0</v>
      </c>
      <c r="CN22" s="682">
        <f t="shared" si="92"/>
        <v>0</v>
      </c>
      <c r="CO22" s="124">
        <f t="shared" si="93"/>
        <v>0</v>
      </c>
      <c r="CP22" s="125">
        <f t="shared" si="94"/>
        <v>0</v>
      </c>
      <c r="CQ22" s="103" t="b">
        <f t="shared" si="95"/>
        <v>0</v>
      </c>
      <c r="CR22" s="96" t="b">
        <f t="shared" si="96"/>
        <v>0</v>
      </c>
      <c r="CS22" s="97">
        <f t="shared" si="97"/>
        <v>0</v>
      </c>
      <c r="CT22" s="98">
        <f t="shared" si="98"/>
        <v>0</v>
      </c>
      <c r="CU22" s="682">
        <f t="shared" si="99"/>
        <v>0</v>
      </c>
      <c r="CV22" s="99">
        <f t="shared" si="100"/>
        <v>1</v>
      </c>
      <c r="CW22" s="100">
        <f t="shared" si="101"/>
        <v>0</v>
      </c>
      <c r="CX22" s="101" t="b">
        <f t="shared" si="102"/>
        <v>0</v>
      </c>
      <c r="CY22" s="99">
        <f t="shared" si="103"/>
        <v>0</v>
      </c>
      <c r="CZ22" s="100">
        <f t="shared" si="104"/>
        <v>1</v>
      </c>
      <c r="DA22" s="101" t="b">
        <f t="shared" si="105"/>
        <v>0</v>
      </c>
      <c r="DB22" s="102">
        <f t="shared" si="106"/>
        <v>0</v>
      </c>
      <c r="DC22" s="683">
        <f t="shared" si="107"/>
        <v>0</v>
      </c>
      <c r="DD22" s="123">
        <f t="shared" si="108"/>
        <v>0</v>
      </c>
      <c r="DE22" s="104">
        <f t="shared" si="109"/>
        <v>0</v>
      </c>
      <c r="DG22" s="58">
        <v>2025</v>
      </c>
      <c r="DH22" s="144"/>
      <c r="DI22" s="144"/>
      <c r="DJ22" s="144"/>
      <c r="DK22" s="144"/>
      <c r="DL22" s="117" t="s">
        <v>594</v>
      </c>
      <c r="DM22" s="134" t="str">
        <f>IF(祝日表!B24="","",祝日表!B24)</f>
        <v/>
      </c>
      <c r="DN22" s="148"/>
      <c r="DO22" s="148"/>
      <c r="DP22" s="148"/>
      <c r="DQ22" s="148"/>
      <c r="DR22" s="162"/>
      <c r="DS22" s="151"/>
      <c r="DT22" s="58">
        <v>19</v>
      </c>
      <c r="DU22" s="120">
        <f t="shared" si="111"/>
        <v>44184</v>
      </c>
      <c r="DV22" s="51">
        <f t="shared" si="112"/>
        <v>7</v>
      </c>
      <c r="DW22" s="121" t="s">
        <v>596</v>
      </c>
      <c r="DX22" s="152"/>
      <c r="DY22" s="139">
        <f t="shared" si="2"/>
        <v>1</v>
      </c>
      <c r="DZ22" s="119">
        <f t="shared" si="110"/>
        <v>0</v>
      </c>
      <c r="EA22" s="51">
        <f t="shared" si="27"/>
        <v>1</v>
      </c>
      <c r="EB22" s="144"/>
      <c r="EC22" s="51">
        <f t="shared" si="28"/>
        <v>0</v>
      </c>
      <c r="ED22" s="144"/>
      <c r="EE22" s="622"/>
      <c r="EF22" s="622"/>
      <c r="EG22" s="622"/>
      <c r="EH22" s="622"/>
    </row>
    <row r="23" spans="1:138" ht="15" customHeight="1">
      <c r="A23" s="428">
        <f t="shared" si="29"/>
        <v>44416</v>
      </c>
      <c r="B23" s="132" t="str">
        <f t="shared" si="30"/>
        <v>日</v>
      </c>
      <c r="C23" s="129" t="str">
        <f t="shared" si="3"/>
        <v>祝</v>
      </c>
      <c r="D23" s="240"/>
      <c r="E23" s="239">
        <f t="shared" si="4"/>
        <v>0</v>
      </c>
      <c r="F23" s="241"/>
      <c r="G23" s="239">
        <f t="shared" si="5"/>
        <v>0</v>
      </c>
      <c r="H23" s="92">
        <f t="shared" si="31"/>
        <v>0</v>
      </c>
      <c r="I23" s="93">
        <f t="shared" si="32"/>
        <v>0</v>
      </c>
      <c r="J23" s="184">
        <f t="shared" si="6"/>
        <v>0</v>
      </c>
      <c r="K23" s="194">
        <f t="shared" si="7"/>
        <v>0</v>
      </c>
      <c r="L23" s="357">
        <f t="shared" si="8"/>
        <v>0</v>
      </c>
      <c r="M23" s="184">
        <f t="shared" si="9"/>
        <v>0</v>
      </c>
      <c r="N23" s="93">
        <f t="shared" si="1"/>
        <v>0</v>
      </c>
      <c r="O23" s="94">
        <f>IF(M23-N23&lt;0,0,M23-N23)</f>
        <v>0</v>
      </c>
      <c r="P23" s="225"/>
      <c r="Q23" s="564"/>
      <c r="R23" s="298">
        <f t="shared" si="11"/>
        <v>0</v>
      </c>
      <c r="S23" s="138">
        <f t="shared" si="12"/>
        <v>0</v>
      </c>
      <c r="T23" s="298">
        <f t="shared" si="13"/>
        <v>0</v>
      </c>
      <c r="U23" s="298">
        <f t="shared" si="14"/>
        <v>0</v>
      </c>
      <c r="V23" s="298">
        <f t="shared" si="15"/>
        <v>0</v>
      </c>
      <c r="W23" s="138">
        <f t="shared" si="16"/>
        <v>0</v>
      </c>
      <c r="X23" s="138">
        <f t="shared" si="17"/>
        <v>0</v>
      </c>
      <c r="Y23" s="138">
        <f t="shared" si="18"/>
        <v>0</v>
      </c>
      <c r="Z23" s="138">
        <f t="shared" si="19"/>
        <v>0</v>
      </c>
      <c r="AA23" s="138">
        <f t="shared" si="20"/>
        <v>0</v>
      </c>
      <c r="AB23" s="138">
        <f t="shared" si="21"/>
        <v>0</v>
      </c>
      <c r="AC23" s="138">
        <f t="shared" si="22"/>
        <v>0</v>
      </c>
      <c r="AD23" s="138">
        <f t="shared" si="23"/>
        <v>0</v>
      </c>
      <c r="AE23" s="342"/>
      <c r="AF23" s="544"/>
      <c r="AG23" s="124">
        <f t="shared" si="33"/>
        <v>0.54166666666666663</v>
      </c>
      <c r="AH23" s="125">
        <f t="shared" si="34"/>
        <v>0.57291666666666663</v>
      </c>
      <c r="AI23" s="95" t="b">
        <f t="shared" si="35"/>
        <v>0</v>
      </c>
      <c r="AJ23" s="96" t="b">
        <f t="shared" si="36"/>
        <v>0</v>
      </c>
      <c r="AK23" s="97">
        <f t="shared" si="37"/>
        <v>3.125E-2</v>
      </c>
      <c r="AL23" s="98">
        <f t="shared" si="38"/>
        <v>3.125E-2</v>
      </c>
      <c r="AM23" s="682">
        <f t="shared" si="39"/>
        <v>0</v>
      </c>
      <c r="AN23" s="99">
        <f t="shared" si="40"/>
        <v>1</v>
      </c>
      <c r="AO23" s="100">
        <f t="shared" si="41"/>
        <v>0</v>
      </c>
      <c r="AP23" s="101" t="b">
        <f t="shared" si="42"/>
        <v>0</v>
      </c>
      <c r="AQ23" s="99">
        <f t="shared" si="43"/>
        <v>1</v>
      </c>
      <c r="AR23" s="100">
        <f t="shared" si="44"/>
        <v>0</v>
      </c>
      <c r="AS23" s="101" t="b">
        <f t="shared" si="45"/>
        <v>0</v>
      </c>
      <c r="AT23" s="102">
        <f t="shared" si="46"/>
        <v>0</v>
      </c>
      <c r="AU23" s="682">
        <f t="shared" si="47"/>
        <v>0</v>
      </c>
      <c r="AV23" s="124">
        <f t="shared" si="48"/>
        <v>0.875</v>
      </c>
      <c r="AW23" s="125">
        <f t="shared" si="49"/>
        <v>0.89583333333333337</v>
      </c>
      <c r="AX23" s="95" t="b">
        <f t="shared" si="50"/>
        <v>0</v>
      </c>
      <c r="AY23" s="96" t="b">
        <f t="shared" si="51"/>
        <v>0</v>
      </c>
      <c r="AZ23" s="97">
        <f t="shared" si="52"/>
        <v>2.083333333333337E-2</v>
      </c>
      <c r="BA23" s="98">
        <f t="shared" si="53"/>
        <v>2.083333333333337E-2</v>
      </c>
      <c r="BB23" s="682">
        <f t="shared" si="54"/>
        <v>0</v>
      </c>
      <c r="BC23" s="99">
        <f t="shared" si="55"/>
        <v>1</v>
      </c>
      <c r="BD23" s="100">
        <f t="shared" si="56"/>
        <v>0</v>
      </c>
      <c r="BE23" s="101" t="b">
        <f t="shared" si="57"/>
        <v>0</v>
      </c>
      <c r="BF23" s="99">
        <f t="shared" si="58"/>
        <v>1</v>
      </c>
      <c r="BG23" s="100">
        <f t="shared" si="59"/>
        <v>0</v>
      </c>
      <c r="BH23" s="101" t="b">
        <f t="shared" si="60"/>
        <v>0</v>
      </c>
      <c r="BI23" s="102">
        <f t="shared" si="61"/>
        <v>0</v>
      </c>
      <c r="BJ23" s="682">
        <f t="shared" si="62"/>
        <v>0</v>
      </c>
      <c r="BK23" s="124">
        <f t="shared" si="63"/>
        <v>0</v>
      </c>
      <c r="BL23" s="125">
        <f t="shared" si="64"/>
        <v>0</v>
      </c>
      <c r="BM23" s="95" t="b">
        <f t="shared" si="65"/>
        <v>0</v>
      </c>
      <c r="BN23" s="96" t="b">
        <f t="shared" si="66"/>
        <v>0</v>
      </c>
      <c r="BO23" s="97">
        <f t="shared" si="67"/>
        <v>0</v>
      </c>
      <c r="BP23" s="98">
        <f t="shared" si="68"/>
        <v>0</v>
      </c>
      <c r="BQ23" s="682">
        <f t="shared" si="69"/>
        <v>0</v>
      </c>
      <c r="BR23" s="99">
        <f t="shared" si="70"/>
        <v>1</v>
      </c>
      <c r="BS23" s="100">
        <f t="shared" si="71"/>
        <v>0</v>
      </c>
      <c r="BT23" s="101" t="b">
        <f t="shared" si="72"/>
        <v>0</v>
      </c>
      <c r="BU23" s="99">
        <f t="shared" si="73"/>
        <v>0</v>
      </c>
      <c r="BV23" s="100">
        <f t="shared" si="74"/>
        <v>1</v>
      </c>
      <c r="BW23" s="101" t="b">
        <f t="shared" si="75"/>
        <v>0</v>
      </c>
      <c r="BX23" s="102">
        <f t="shared" si="76"/>
        <v>0</v>
      </c>
      <c r="BY23" s="682">
        <f t="shared" si="77"/>
        <v>0</v>
      </c>
      <c r="BZ23" s="124">
        <f t="shared" si="78"/>
        <v>0</v>
      </c>
      <c r="CA23" s="125">
        <f t="shared" si="79"/>
        <v>0</v>
      </c>
      <c r="CB23" s="95" t="b">
        <f t="shared" si="80"/>
        <v>0</v>
      </c>
      <c r="CC23" s="96" t="b">
        <f t="shared" si="81"/>
        <v>0</v>
      </c>
      <c r="CD23" s="97">
        <f t="shared" si="82"/>
        <v>0</v>
      </c>
      <c r="CE23" s="98">
        <f t="shared" si="83"/>
        <v>0</v>
      </c>
      <c r="CF23" s="682">
        <f t="shared" si="84"/>
        <v>0</v>
      </c>
      <c r="CG23" s="99">
        <f t="shared" si="85"/>
        <v>1</v>
      </c>
      <c r="CH23" s="100">
        <f t="shared" si="86"/>
        <v>0</v>
      </c>
      <c r="CI23" s="101" t="b">
        <f t="shared" si="87"/>
        <v>0</v>
      </c>
      <c r="CJ23" s="99">
        <f t="shared" si="88"/>
        <v>0</v>
      </c>
      <c r="CK23" s="100">
        <f t="shared" si="89"/>
        <v>1</v>
      </c>
      <c r="CL23" s="101" t="b">
        <f t="shared" si="90"/>
        <v>0</v>
      </c>
      <c r="CM23" s="102">
        <f t="shared" si="91"/>
        <v>0</v>
      </c>
      <c r="CN23" s="682">
        <f t="shared" si="92"/>
        <v>0</v>
      </c>
      <c r="CO23" s="124">
        <f t="shared" si="93"/>
        <v>0</v>
      </c>
      <c r="CP23" s="125">
        <f t="shared" si="94"/>
        <v>0</v>
      </c>
      <c r="CQ23" s="103" t="b">
        <f t="shared" si="95"/>
        <v>0</v>
      </c>
      <c r="CR23" s="96" t="b">
        <f t="shared" si="96"/>
        <v>0</v>
      </c>
      <c r="CS23" s="97">
        <f t="shared" si="97"/>
        <v>0</v>
      </c>
      <c r="CT23" s="98">
        <f t="shared" si="98"/>
        <v>0</v>
      </c>
      <c r="CU23" s="682">
        <f t="shared" si="99"/>
        <v>0</v>
      </c>
      <c r="CV23" s="99">
        <f t="shared" si="100"/>
        <v>1</v>
      </c>
      <c r="CW23" s="100">
        <f t="shared" si="101"/>
        <v>0</v>
      </c>
      <c r="CX23" s="101" t="b">
        <f t="shared" si="102"/>
        <v>0</v>
      </c>
      <c r="CY23" s="99">
        <f t="shared" si="103"/>
        <v>0</v>
      </c>
      <c r="CZ23" s="100">
        <f t="shared" si="104"/>
        <v>1</v>
      </c>
      <c r="DA23" s="101" t="b">
        <f t="shared" si="105"/>
        <v>0</v>
      </c>
      <c r="DB23" s="102">
        <f t="shared" si="106"/>
        <v>0</v>
      </c>
      <c r="DC23" s="683">
        <f t="shared" si="107"/>
        <v>0</v>
      </c>
      <c r="DD23" s="123">
        <f t="shared" si="108"/>
        <v>0</v>
      </c>
      <c r="DE23" s="104">
        <f t="shared" si="109"/>
        <v>0</v>
      </c>
      <c r="DG23" s="58">
        <v>2026</v>
      </c>
      <c r="DH23" s="144"/>
      <c r="DI23" s="144"/>
      <c r="DJ23" s="144"/>
      <c r="DK23" s="144"/>
      <c r="DL23" s="117" t="s">
        <v>594</v>
      </c>
      <c r="DM23" s="134" t="str">
        <f>IF(祝日表!B25="","",祝日表!B25)</f>
        <v/>
      </c>
      <c r="DN23" s="148"/>
      <c r="DO23" s="148"/>
      <c r="DP23" s="148"/>
      <c r="DQ23" s="148"/>
      <c r="DR23" s="162"/>
      <c r="DS23" s="151"/>
      <c r="DT23" s="58">
        <v>20</v>
      </c>
      <c r="DU23" s="120">
        <f t="shared" si="111"/>
        <v>44185</v>
      </c>
      <c r="DV23" s="51">
        <f t="shared" si="112"/>
        <v>1</v>
      </c>
      <c r="DW23" s="122" t="s">
        <v>586</v>
      </c>
      <c r="DX23" s="152"/>
      <c r="DY23" s="139">
        <f t="shared" si="2"/>
        <v>1</v>
      </c>
      <c r="DZ23" s="119">
        <f t="shared" si="110"/>
        <v>1</v>
      </c>
      <c r="EA23" s="51">
        <f t="shared" si="27"/>
        <v>1</v>
      </c>
      <c r="EB23" s="144"/>
      <c r="EC23" s="51">
        <f t="shared" si="28"/>
        <v>0</v>
      </c>
      <c r="ED23" s="144"/>
      <c r="EE23" s="622"/>
      <c r="EF23" s="622"/>
      <c r="EG23" s="622"/>
      <c r="EH23" s="622"/>
    </row>
    <row r="24" spans="1:138" ht="15" customHeight="1">
      <c r="A24" s="428">
        <f t="shared" si="29"/>
        <v>44417</v>
      </c>
      <c r="B24" s="132" t="str">
        <f t="shared" si="30"/>
        <v>月</v>
      </c>
      <c r="C24" s="129" t="str">
        <f t="shared" si="3"/>
        <v>祝</v>
      </c>
      <c r="D24" s="240"/>
      <c r="E24" s="239">
        <f t="shared" si="4"/>
        <v>0</v>
      </c>
      <c r="F24" s="241"/>
      <c r="G24" s="239">
        <f t="shared" si="5"/>
        <v>0</v>
      </c>
      <c r="H24" s="92">
        <f>G24-E24</f>
        <v>0</v>
      </c>
      <c r="I24" s="93">
        <f>DD24</f>
        <v>0</v>
      </c>
      <c r="J24" s="184">
        <f t="shared" si="6"/>
        <v>0</v>
      </c>
      <c r="K24" s="194">
        <f t="shared" si="7"/>
        <v>0</v>
      </c>
      <c r="L24" s="357">
        <f t="shared" si="8"/>
        <v>0</v>
      </c>
      <c r="M24" s="184">
        <f t="shared" si="9"/>
        <v>0</v>
      </c>
      <c r="N24" s="93">
        <f t="shared" si="1"/>
        <v>0</v>
      </c>
      <c r="O24" s="94">
        <f>IF(M24-N24&lt;0,0,M24-N24)</f>
        <v>0</v>
      </c>
      <c r="P24" s="225"/>
      <c r="Q24" s="564"/>
      <c r="R24" s="298">
        <f t="shared" si="11"/>
        <v>0</v>
      </c>
      <c r="S24" s="138">
        <f t="shared" si="12"/>
        <v>0</v>
      </c>
      <c r="T24" s="298">
        <f t="shared" si="13"/>
        <v>0</v>
      </c>
      <c r="U24" s="298">
        <f t="shared" si="14"/>
        <v>0</v>
      </c>
      <c r="V24" s="298">
        <f t="shared" si="15"/>
        <v>0</v>
      </c>
      <c r="W24" s="138">
        <f t="shared" si="16"/>
        <v>0</v>
      </c>
      <c r="X24" s="138">
        <f t="shared" si="17"/>
        <v>0</v>
      </c>
      <c r="Y24" s="138">
        <f t="shared" si="18"/>
        <v>0</v>
      </c>
      <c r="Z24" s="138">
        <f t="shared" si="19"/>
        <v>0</v>
      </c>
      <c r="AA24" s="138">
        <f t="shared" si="20"/>
        <v>0</v>
      </c>
      <c r="AB24" s="138">
        <f t="shared" si="21"/>
        <v>0</v>
      </c>
      <c r="AC24" s="138">
        <f t="shared" si="22"/>
        <v>0</v>
      </c>
      <c r="AD24" s="138">
        <f t="shared" si="23"/>
        <v>0</v>
      </c>
      <c r="AE24" s="342"/>
      <c r="AF24" s="544" t="s">
        <v>597</v>
      </c>
      <c r="AG24" s="124">
        <f t="shared" si="33"/>
        <v>0.54166666666666663</v>
      </c>
      <c r="AH24" s="125">
        <f t="shared" si="34"/>
        <v>0.57291666666666663</v>
      </c>
      <c r="AI24" s="95" t="b">
        <f t="shared" si="35"/>
        <v>0</v>
      </c>
      <c r="AJ24" s="96" t="b">
        <f t="shared" si="36"/>
        <v>0</v>
      </c>
      <c r="AK24" s="97">
        <f t="shared" si="37"/>
        <v>3.125E-2</v>
      </c>
      <c r="AL24" s="98">
        <f t="shared" si="38"/>
        <v>3.125E-2</v>
      </c>
      <c r="AM24" s="682">
        <f t="shared" si="39"/>
        <v>0</v>
      </c>
      <c r="AN24" s="99">
        <f t="shared" si="40"/>
        <v>1</v>
      </c>
      <c r="AO24" s="100">
        <f t="shared" si="41"/>
        <v>0</v>
      </c>
      <c r="AP24" s="101" t="b">
        <f t="shared" si="42"/>
        <v>0</v>
      </c>
      <c r="AQ24" s="99">
        <f t="shared" si="43"/>
        <v>1</v>
      </c>
      <c r="AR24" s="100">
        <f t="shared" si="44"/>
        <v>0</v>
      </c>
      <c r="AS24" s="101" t="b">
        <f t="shared" si="45"/>
        <v>0</v>
      </c>
      <c r="AT24" s="102">
        <f t="shared" si="46"/>
        <v>0</v>
      </c>
      <c r="AU24" s="682">
        <f t="shared" si="47"/>
        <v>0</v>
      </c>
      <c r="AV24" s="124">
        <f t="shared" si="48"/>
        <v>0.875</v>
      </c>
      <c r="AW24" s="125">
        <f t="shared" si="49"/>
        <v>0.89583333333333337</v>
      </c>
      <c r="AX24" s="95" t="b">
        <f t="shared" si="50"/>
        <v>0</v>
      </c>
      <c r="AY24" s="96" t="b">
        <f t="shared" si="51"/>
        <v>0</v>
      </c>
      <c r="AZ24" s="97">
        <f t="shared" si="52"/>
        <v>2.083333333333337E-2</v>
      </c>
      <c r="BA24" s="98">
        <f t="shared" si="53"/>
        <v>2.083333333333337E-2</v>
      </c>
      <c r="BB24" s="682">
        <f t="shared" si="54"/>
        <v>0</v>
      </c>
      <c r="BC24" s="99">
        <f t="shared" si="55"/>
        <v>1</v>
      </c>
      <c r="BD24" s="100">
        <f t="shared" si="56"/>
        <v>0</v>
      </c>
      <c r="BE24" s="101" t="b">
        <f t="shared" si="57"/>
        <v>0</v>
      </c>
      <c r="BF24" s="99">
        <f t="shared" si="58"/>
        <v>1</v>
      </c>
      <c r="BG24" s="100">
        <f t="shared" si="59"/>
        <v>0</v>
      </c>
      <c r="BH24" s="101" t="b">
        <f t="shared" si="60"/>
        <v>0</v>
      </c>
      <c r="BI24" s="102">
        <f t="shared" si="61"/>
        <v>0</v>
      </c>
      <c r="BJ24" s="682">
        <f t="shared" si="62"/>
        <v>0</v>
      </c>
      <c r="BK24" s="124">
        <f t="shared" si="63"/>
        <v>0</v>
      </c>
      <c r="BL24" s="125">
        <f t="shared" si="64"/>
        <v>0</v>
      </c>
      <c r="BM24" s="95" t="b">
        <f t="shared" si="65"/>
        <v>0</v>
      </c>
      <c r="BN24" s="96" t="b">
        <f t="shared" si="66"/>
        <v>0</v>
      </c>
      <c r="BO24" s="97">
        <f t="shared" si="67"/>
        <v>0</v>
      </c>
      <c r="BP24" s="98">
        <f t="shared" si="68"/>
        <v>0</v>
      </c>
      <c r="BQ24" s="682">
        <f t="shared" si="69"/>
        <v>0</v>
      </c>
      <c r="BR24" s="99">
        <f t="shared" si="70"/>
        <v>1</v>
      </c>
      <c r="BS24" s="100">
        <f t="shared" si="71"/>
        <v>0</v>
      </c>
      <c r="BT24" s="101" t="b">
        <f t="shared" si="72"/>
        <v>0</v>
      </c>
      <c r="BU24" s="99">
        <f t="shared" si="73"/>
        <v>0</v>
      </c>
      <c r="BV24" s="100">
        <f t="shared" si="74"/>
        <v>1</v>
      </c>
      <c r="BW24" s="101" t="b">
        <f t="shared" si="75"/>
        <v>0</v>
      </c>
      <c r="BX24" s="102">
        <f t="shared" si="76"/>
        <v>0</v>
      </c>
      <c r="BY24" s="682">
        <f t="shared" si="77"/>
        <v>0</v>
      </c>
      <c r="BZ24" s="124">
        <f t="shared" si="78"/>
        <v>0</v>
      </c>
      <c r="CA24" s="125">
        <f t="shared" si="79"/>
        <v>0</v>
      </c>
      <c r="CB24" s="95" t="b">
        <f t="shared" si="80"/>
        <v>0</v>
      </c>
      <c r="CC24" s="96" t="b">
        <f t="shared" si="81"/>
        <v>0</v>
      </c>
      <c r="CD24" s="97">
        <f t="shared" si="82"/>
        <v>0</v>
      </c>
      <c r="CE24" s="98">
        <f t="shared" si="83"/>
        <v>0</v>
      </c>
      <c r="CF24" s="682">
        <f t="shared" si="84"/>
        <v>0</v>
      </c>
      <c r="CG24" s="99">
        <f t="shared" si="85"/>
        <v>1</v>
      </c>
      <c r="CH24" s="100">
        <f t="shared" si="86"/>
        <v>0</v>
      </c>
      <c r="CI24" s="101" t="b">
        <f t="shared" si="87"/>
        <v>0</v>
      </c>
      <c r="CJ24" s="99">
        <f t="shared" si="88"/>
        <v>0</v>
      </c>
      <c r="CK24" s="100">
        <f t="shared" si="89"/>
        <v>1</v>
      </c>
      <c r="CL24" s="101" t="b">
        <f t="shared" si="90"/>
        <v>0</v>
      </c>
      <c r="CM24" s="102">
        <f t="shared" si="91"/>
        <v>0</v>
      </c>
      <c r="CN24" s="682">
        <f t="shared" si="92"/>
        <v>0</v>
      </c>
      <c r="CO24" s="124">
        <f t="shared" si="93"/>
        <v>0</v>
      </c>
      <c r="CP24" s="125">
        <f t="shared" si="94"/>
        <v>0</v>
      </c>
      <c r="CQ24" s="103" t="b">
        <f t="shared" si="95"/>
        <v>0</v>
      </c>
      <c r="CR24" s="96" t="b">
        <f t="shared" si="96"/>
        <v>0</v>
      </c>
      <c r="CS24" s="97">
        <f t="shared" si="97"/>
        <v>0</v>
      </c>
      <c r="CT24" s="98">
        <f t="shared" si="98"/>
        <v>0</v>
      </c>
      <c r="CU24" s="682">
        <f t="shared" si="99"/>
        <v>0</v>
      </c>
      <c r="CV24" s="99">
        <f t="shared" si="100"/>
        <v>1</v>
      </c>
      <c r="CW24" s="100">
        <f t="shared" si="101"/>
        <v>0</v>
      </c>
      <c r="CX24" s="101" t="b">
        <f t="shared" si="102"/>
        <v>0</v>
      </c>
      <c r="CY24" s="99">
        <f t="shared" si="103"/>
        <v>0</v>
      </c>
      <c r="CZ24" s="100">
        <f t="shared" si="104"/>
        <v>1</v>
      </c>
      <c r="DA24" s="101" t="b">
        <f t="shared" si="105"/>
        <v>0</v>
      </c>
      <c r="DB24" s="102">
        <f t="shared" si="106"/>
        <v>0</v>
      </c>
      <c r="DC24" s="683">
        <f t="shared" si="107"/>
        <v>0</v>
      </c>
      <c r="DD24" s="123">
        <f t="shared" si="108"/>
        <v>0</v>
      </c>
      <c r="DE24" s="104">
        <f t="shared" si="109"/>
        <v>0</v>
      </c>
      <c r="DG24" s="58">
        <v>2027</v>
      </c>
      <c r="DH24" s="144"/>
      <c r="DI24" s="144"/>
      <c r="DJ24" s="144"/>
      <c r="DK24" s="144"/>
      <c r="DL24" s="144"/>
      <c r="DM24" s="149" t="str">
        <f>IF(祝日表!B26="","",祝日表!B26)</f>
        <v/>
      </c>
      <c r="DN24" s="148"/>
      <c r="DO24" s="148"/>
      <c r="DP24" s="148"/>
      <c r="DQ24" s="148"/>
      <c r="DR24" s="162"/>
      <c r="DS24" s="151"/>
      <c r="DT24" s="58">
        <v>21</v>
      </c>
      <c r="DU24" s="120">
        <f t="shared" si="111"/>
        <v>44186</v>
      </c>
      <c r="DV24" s="51">
        <f t="shared" si="112"/>
        <v>2</v>
      </c>
      <c r="DW24" s="51">
        <f>MATCH(2,DV18:DV24,0)</f>
        <v>7</v>
      </c>
      <c r="DX24" s="152"/>
      <c r="DY24" s="139">
        <f t="shared" si="2"/>
        <v>0</v>
      </c>
      <c r="DZ24" s="119">
        <f t="shared" si="110"/>
        <v>1</v>
      </c>
      <c r="EA24" s="51">
        <f t="shared" si="27"/>
        <v>1</v>
      </c>
      <c r="EB24" s="144"/>
      <c r="EC24" s="51">
        <f t="shared" si="28"/>
        <v>0</v>
      </c>
      <c r="ED24" s="144"/>
      <c r="EE24" s="622"/>
      <c r="EF24" s="622"/>
      <c r="EG24" s="622"/>
      <c r="EH24" s="622"/>
    </row>
    <row r="25" spans="1:138" ht="15" customHeight="1">
      <c r="A25" s="428">
        <f t="shared" si="29"/>
        <v>44418</v>
      </c>
      <c r="B25" s="132" t="str">
        <f t="shared" si="30"/>
        <v>火</v>
      </c>
      <c r="C25" s="129" t="str">
        <f t="shared" si="3"/>
        <v/>
      </c>
      <c r="D25" s="240"/>
      <c r="E25" s="239">
        <f t="shared" si="4"/>
        <v>0</v>
      </c>
      <c r="F25" s="241"/>
      <c r="G25" s="239">
        <f t="shared" si="5"/>
        <v>0</v>
      </c>
      <c r="H25" s="92">
        <f t="shared" si="31"/>
        <v>0</v>
      </c>
      <c r="I25" s="93">
        <f>DD25</f>
        <v>0</v>
      </c>
      <c r="J25" s="184">
        <f>IF(AND($F$2&gt;=E25,Q25="定例会出席"),TIME(8,0,0),FLOOR((H25-I25),"0:15"))</f>
        <v>0</v>
      </c>
      <c r="K25" s="194">
        <f t="shared" si="7"/>
        <v>0</v>
      </c>
      <c r="L25" s="357">
        <f t="shared" si="8"/>
        <v>0</v>
      </c>
      <c r="M25" s="184">
        <f t="shared" si="9"/>
        <v>0</v>
      </c>
      <c r="N25" s="93">
        <f t="shared" si="1"/>
        <v>0</v>
      </c>
      <c r="O25" s="94">
        <f t="shared" ref="O25:O35" si="113">IF(M25-N25&lt;0,0,M25-N25)</f>
        <v>0</v>
      </c>
      <c r="P25" s="225"/>
      <c r="Q25" s="346"/>
      <c r="R25" s="298">
        <f t="shared" si="11"/>
        <v>0</v>
      </c>
      <c r="S25" s="138">
        <f t="shared" si="12"/>
        <v>0</v>
      </c>
      <c r="T25" s="298">
        <f t="shared" si="13"/>
        <v>0</v>
      </c>
      <c r="U25" s="298">
        <f t="shared" si="14"/>
        <v>0</v>
      </c>
      <c r="V25" s="298">
        <f t="shared" si="15"/>
        <v>0</v>
      </c>
      <c r="W25" s="138">
        <f t="shared" si="16"/>
        <v>0</v>
      </c>
      <c r="X25" s="138">
        <f t="shared" si="17"/>
        <v>0</v>
      </c>
      <c r="Y25" s="138">
        <f t="shared" si="18"/>
        <v>0</v>
      </c>
      <c r="Z25" s="138">
        <f t="shared" si="19"/>
        <v>0</v>
      </c>
      <c r="AA25" s="138">
        <f t="shared" si="20"/>
        <v>0</v>
      </c>
      <c r="AB25" s="138">
        <f t="shared" si="21"/>
        <v>0</v>
      </c>
      <c r="AC25" s="138">
        <f t="shared" si="22"/>
        <v>0</v>
      </c>
      <c r="AD25" s="138">
        <f t="shared" si="23"/>
        <v>0</v>
      </c>
      <c r="AE25" s="342"/>
      <c r="AF25" s="544" t="s">
        <v>597</v>
      </c>
      <c r="AG25" s="124">
        <f t="shared" si="33"/>
        <v>0.54166666666666663</v>
      </c>
      <c r="AH25" s="125">
        <f t="shared" si="34"/>
        <v>0.57291666666666663</v>
      </c>
      <c r="AI25" s="95" t="b">
        <f t="shared" si="35"/>
        <v>0</v>
      </c>
      <c r="AJ25" s="96" t="b">
        <f t="shared" si="36"/>
        <v>0</v>
      </c>
      <c r="AK25" s="97">
        <f t="shared" si="37"/>
        <v>3.125E-2</v>
      </c>
      <c r="AL25" s="98">
        <f t="shared" si="38"/>
        <v>3.125E-2</v>
      </c>
      <c r="AM25" s="682">
        <f t="shared" si="39"/>
        <v>0</v>
      </c>
      <c r="AN25" s="99">
        <f t="shared" si="40"/>
        <v>1</v>
      </c>
      <c r="AO25" s="100">
        <f t="shared" si="41"/>
        <v>0</v>
      </c>
      <c r="AP25" s="101" t="b">
        <f t="shared" si="42"/>
        <v>0</v>
      </c>
      <c r="AQ25" s="99">
        <f t="shared" si="43"/>
        <v>1</v>
      </c>
      <c r="AR25" s="100">
        <f t="shared" si="44"/>
        <v>0</v>
      </c>
      <c r="AS25" s="101" t="b">
        <f t="shared" si="45"/>
        <v>0</v>
      </c>
      <c r="AT25" s="102">
        <f t="shared" si="46"/>
        <v>0</v>
      </c>
      <c r="AU25" s="682">
        <f t="shared" si="47"/>
        <v>0</v>
      </c>
      <c r="AV25" s="124">
        <f t="shared" si="48"/>
        <v>0.875</v>
      </c>
      <c r="AW25" s="125">
        <f t="shared" si="49"/>
        <v>0.89583333333333337</v>
      </c>
      <c r="AX25" s="95" t="b">
        <f t="shared" si="50"/>
        <v>0</v>
      </c>
      <c r="AY25" s="96" t="b">
        <f t="shared" si="51"/>
        <v>0</v>
      </c>
      <c r="AZ25" s="97">
        <f t="shared" si="52"/>
        <v>2.083333333333337E-2</v>
      </c>
      <c r="BA25" s="98">
        <f t="shared" si="53"/>
        <v>2.083333333333337E-2</v>
      </c>
      <c r="BB25" s="682">
        <f t="shared" si="54"/>
        <v>0</v>
      </c>
      <c r="BC25" s="99">
        <f t="shared" si="55"/>
        <v>1</v>
      </c>
      <c r="BD25" s="100">
        <f t="shared" si="56"/>
        <v>0</v>
      </c>
      <c r="BE25" s="101" t="b">
        <f t="shared" si="57"/>
        <v>0</v>
      </c>
      <c r="BF25" s="99">
        <f t="shared" si="58"/>
        <v>1</v>
      </c>
      <c r="BG25" s="100">
        <f t="shared" si="59"/>
        <v>0</v>
      </c>
      <c r="BH25" s="101" t="b">
        <f t="shared" si="60"/>
        <v>0</v>
      </c>
      <c r="BI25" s="102">
        <f t="shared" si="61"/>
        <v>0</v>
      </c>
      <c r="BJ25" s="682">
        <f t="shared" si="62"/>
        <v>0</v>
      </c>
      <c r="BK25" s="124">
        <f t="shared" si="63"/>
        <v>0</v>
      </c>
      <c r="BL25" s="125">
        <f t="shared" si="64"/>
        <v>0</v>
      </c>
      <c r="BM25" s="95" t="b">
        <f t="shared" si="65"/>
        <v>0</v>
      </c>
      <c r="BN25" s="96" t="b">
        <f t="shared" si="66"/>
        <v>0</v>
      </c>
      <c r="BO25" s="97">
        <f t="shared" si="67"/>
        <v>0</v>
      </c>
      <c r="BP25" s="98">
        <f t="shared" si="68"/>
        <v>0</v>
      </c>
      <c r="BQ25" s="682">
        <f t="shared" si="69"/>
        <v>0</v>
      </c>
      <c r="BR25" s="99">
        <f t="shared" si="70"/>
        <v>1</v>
      </c>
      <c r="BS25" s="100">
        <f t="shared" si="71"/>
        <v>0</v>
      </c>
      <c r="BT25" s="101" t="b">
        <f t="shared" si="72"/>
        <v>0</v>
      </c>
      <c r="BU25" s="99">
        <f t="shared" si="73"/>
        <v>0</v>
      </c>
      <c r="BV25" s="100">
        <f t="shared" si="74"/>
        <v>1</v>
      </c>
      <c r="BW25" s="101" t="b">
        <f t="shared" si="75"/>
        <v>0</v>
      </c>
      <c r="BX25" s="102">
        <f t="shared" si="76"/>
        <v>0</v>
      </c>
      <c r="BY25" s="682">
        <f t="shared" si="77"/>
        <v>0</v>
      </c>
      <c r="BZ25" s="124">
        <f t="shared" si="78"/>
        <v>0</v>
      </c>
      <c r="CA25" s="125">
        <f t="shared" si="79"/>
        <v>0</v>
      </c>
      <c r="CB25" s="95" t="b">
        <f t="shared" si="80"/>
        <v>0</v>
      </c>
      <c r="CC25" s="96" t="b">
        <f t="shared" si="81"/>
        <v>0</v>
      </c>
      <c r="CD25" s="97">
        <f t="shared" si="82"/>
        <v>0</v>
      </c>
      <c r="CE25" s="98">
        <f t="shared" si="83"/>
        <v>0</v>
      </c>
      <c r="CF25" s="682">
        <f t="shared" si="84"/>
        <v>0</v>
      </c>
      <c r="CG25" s="99">
        <f t="shared" si="85"/>
        <v>1</v>
      </c>
      <c r="CH25" s="100">
        <f t="shared" si="86"/>
        <v>0</v>
      </c>
      <c r="CI25" s="101" t="b">
        <f t="shared" si="87"/>
        <v>0</v>
      </c>
      <c r="CJ25" s="99">
        <f t="shared" si="88"/>
        <v>0</v>
      </c>
      <c r="CK25" s="100">
        <f t="shared" si="89"/>
        <v>1</v>
      </c>
      <c r="CL25" s="101" t="b">
        <f t="shared" si="90"/>
        <v>0</v>
      </c>
      <c r="CM25" s="102">
        <f t="shared" si="91"/>
        <v>0</v>
      </c>
      <c r="CN25" s="682">
        <f t="shared" si="92"/>
        <v>0</v>
      </c>
      <c r="CO25" s="124">
        <f t="shared" si="93"/>
        <v>0</v>
      </c>
      <c r="CP25" s="125">
        <f t="shared" si="94"/>
        <v>0</v>
      </c>
      <c r="CQ25" s="103" t="b">
        <f t="shared" si="95"/>
        <v>0</v>
      </c>
      <c r="CR25" s="96" t="b">
        <f t="shared" si="96"/>
        <v>0</v>
      </c>
      <c r="CS25" s="97">
        <f t="shared" si="97"/>
        <v>0</v>
      </c>
      <c r="CT25" s="98">
        <f t="shared" si="98"/>
        <v>0</v>
      </c>
      <c r="CU25" s="682">
        <f t="shared" si="99"/>
        <v>0</v>
      </c>
      <c r="CV25" s="99">
        <f t="shared" si="100"/>
        <v>1</v>
      </c>
      <c r="CW25" s="100">
        <f t="shared" si="101"/>
        <v>0</v>
      </c>
      <c r="CX25" s="101" t="b">
        <f t="shared" si="102"/>
        <v>0</v>
      </c>
      <c r="CY25" s="99">
        <f t="shared" si="103"/>
        <v>0</v>
      </c>
      <c r="CZ25" s="100">
        <f t="shared" si="104"/>
        <v>1</v>
      </c>
      <c r="DA25" s="101" t="b">
        <f t="shared" si="105"/>
        <v>0</v>
      </c>
      <c r="DB25" s="102">
        <f t="shared" si="106"/>
        <v>0</v>
      </c>
      <c r="DC25" s="683">
        <f t="shared" si="107"/>
        <v>0</v>
      </c>
      <c r="DD25" s="123">
        <f t="shared" si="108"/>
        <v>0</v>
      </c>
      <c r="DE25" s="104">
        <f t="shared" si="109"/>
        <v>0</v>
      </c>
      <c r="DG25" s="58">
        <v>2028</v>
      </c>
      <c r="DH25" s="144"/>
      <c r="DI25" s="144"/>
      <c r="DJ25" s="144"/>
      <c r="DK25" s="144"/>
      <c r="DL25" s="117" t="s">
        <v>598</v>
      </c>
      <c r="DM25" s="134">
        <f>IF(祝日表!B27="","",祝日表!B27)</f>
        <v>44462</v>
      </c>
      <c r="DN25" s="148"/>
      <c r="DO25" s="148"/>
      <c r="DP25" s="148"/>
      <c r="DQ25" s="148"/>
      <c r="DR25" s="162"/>
      <c r="DS25" s="151"/>
      <c r="DT25" s="165" t="s">
        <v>445</v>
      </c>
      <c r="DU25" s="167"/>
      <c r="DV25" s="152"/>
      <c r="DW25" s="144"/>
      <c r="DX25" s="152"/>
      <c r="DY25" s="139">
        <f t="shared" si="2"/>
        <v>0</v>
      </c>
      <c r="DZ25" s="119">
        <f t="shared" si="110"/>
        <v>0</v>
      </c>
      <c r="EA25" s="51">
        <f t="shared" si="27"/>
        <v>0</v>
      </c>
      <c r="EB25" s="144"/>
      <c r="EC25" s="51">
        <f t="shared" si="28"/>
        <v>0</v>
      </c>
      <c r="ED25" s="144"/>
      <c r="EE25" s="622"/>
      <c r="EF25" s="622"/>
      <c r="EG25" s="622"/>
      <c r="EH25" s="622"/>
    </row>
    <row r="26" spans="1:138" ht="15" customHeight="1">
      <c r="A26" s="428">
        <f t="shared" si="29"/>
        <v>44419</v>
      </c>
      <c r="B26" s="132" t="str">
        <f t="shared" si="30"/>
        <v>水</v>
      </c>
      <c r="C26" s="129" t="str">
        <f t="shared" si="3"/>
        <v/>
      </c>
      <c r="D26" s="240"/>
      <c r="E26" s="239">
        <f t="shared" si="4"/>
        <v>0</v>
      </c>
      <c r="F26" s="241"/>
      <c r="G26" s="239">
        <f t="shared" si="5"/>
        <v>0</v>
      </c>
      <c r="H26" s="92">
        <f t="shared" si="31"/>
        <v>0</v>
      </c>
      <c r="I26" s="93">
        <f t="shared" si="32"/>
        <v>0</v>
      </c>
      <c r="J26" s="184">
        <f t="shared" si="6"/>
        <v>0</v>
      </c>
      <c r="K26" s="194">
        <f t="shared" si="7"/>
        <v>0</v>
      </c>
      <c r="L26" s="357">
        <f t="shared" si="8"/>
        <v>0</v>
      </c>
      <c r="M26" s="184">
        <f t="shared" si="9"/>
        <v>0</v>
      </c>
      <c r="N26" s="93">
        <f t="shared" si="1"/>
        <v>0</v>
      </c>
      <c r="O26" s="94">
        <f t="shared" si="113"/>
        <v>0</v>
      </c>
      <c r="P26" s="225"/>
      <c r="Q26" s="564"/>
      <c r="R26" s="298">
        <f t="shared" si="11"/>
        <v>0</v>
      </c>
      <c r="S26" s="138">
        <f t="shared" si="12"/>
        <v>0</v>
      </c>
      <c r="T26" s="298">
        <f t="shared" si="13"/>
        <v>0</v>
      </c>
      <c r="U26" s="298">
        <f t="shared" si="14"/>
        <v>0</v>
      </c>
      <c r="V26" s="298">
        <f t="shared" si="15"/>
        <v>0</v>
      </c>
      <c r="W26" s="138">
        <f t="shared" si="16"/>
        <v>0</v>
      </c>
      <c r="X26" s="138">
        <f t="shared" si="17"/>
        <v>0</v>
      </c>
      <c r="Y26" s="138">
        <f t="shared" si="18"/>
        <v>0</v>
      </c>
      <c r="Z26" s="138">
        <f t="shared" si="19"/>
        <v>0</v>
      </c>
      <c r="AA26" s="138">
        <f t="shared" si="20"/>
        <v>0</v>
      </c>
      <c r="AB26" s="138">
        <f t="shared" si="21"/>
        <v>0</v>
      </c>
      <c r="AC26" s="138">
        <f t="shared" si="22"/>
        <v>0</v>
      </c>
      <c r="AD26" s="138">
        <f t="shared" si="23"/>
        <v>0</v>
      </c>
      <c r="AE26" s="342"/>
      <c r="AF26" s="544" t="s">
        <v>597</v>
      </c>
      <c r="AG26" s="124">
        <f t="shared" si="33"/>
        <v>0.54166666666666663</v>
      </c>
      <c r="AH26" s="125">
        <f t="shared" si="34"/>
        <v>0.57291666666666663</v>
      </c>
      <c r="AI26" s="95" t="b">
        <f t="shared" si="35"/>
        <v>0</v>
      </c>
      <c r="AJ26" s="96" t="b">
        <f t="shared" si="36"/>
        <v>0</v>
      </c>
      <c r="AK26" s="97">
        <f t="shared" si="37"/>
        <v>3.125E-2</v>
      </c>
      <c r="AL26" s="98">
        <f t="shared" si="38"/>
        <v>3.125E-2</v>
      </c>
      <c r="AM26" s="682">
        <f t="shared" si="39"/>
        <v>0</v>
      </c>
      <c r="AN26" s="99">
        <f t="shared" si="40"/>
        <v>1</v>
      </c>
      <c r="AO26" s="100">
        <f t="shared" si="41"/>
        <v>0</v>
      </c>
      <c r="AP26" s="101" t="b">
        <f t="shared" si="42"/>
        <v>0</v>
      </c>
      <c r="AQ26" s="99">
        <f t="shared" si="43"/>
        <v>1</v>
      </c>
      <c r="AR26" s="100">
        <f t="shared" si="44"/>
        <v>0</v>
      </c>
      <c r="AS26" s="101" t="b">
        <f t="shared" si="45"/>
        <v>0</v>
      </c>
      <c r="AT26" s="102">
        <f t="shared" si="46"/>
        <v>0</v>
      </c>
      <c r="AU26" s="682">
        <f t="shared" si="47"/>
        <v>0</v>
      </c>
      <c r="AV26" s="124">
        <f t="shared" si="48"/>
        <v>0.875</v>
      </c>
      <c r="AW26" s="125">
        <f t="shared" si="49"/>
        <v>0.89583333333333337</v>
      </c>
      <c r="AX26" s="95" t="b">
        <f t="shared" si="50"/>
        <v>0</v>
      </c>
      <c r="AY26" s="96" t="b">
        <f t="shared" si="51"/>
        <v>0</v>
      </c>
      <c r="AZ26" s="97">
        <f t="shared" si="52"/>
        <v>2.083333333333337E-2</v>
      </c>
      <c r="BA26" s="98">
        <f t="shared" si="53"/>
        <v>2.083333333333337E-2</v>
      </c>
      <c r="BB26" s="682">
        <f t="shared" si="54"/>
        <v>0</v>
      </c>
      <c r="BC26" s="99">
        <f t="shared" si="55"/>
        <v>1</v>
      </c>
      <c r="BD26" s="100">
        <f t="shared" si="56"/>
        <v>0</v>
      </c>
      <c r="BE26" s="101" t="b">
        <f t="shared" si="57"/>
        <v>0</v>
      </c>
      <c r="BF26" s="99">
        <f t="shared" si="58"/>
        <v>1</v>
      </c>
      <c r="BG26" s="100">
        <f t="shared" si="59"/>
        <v>0</v>
      </c>
      <c r="BH26" s="101" t="b">
        <f t="shared" si="60"/>
        <v>0</v>
      </c>
      <c r="BI26" s="102">
        <f t="shared" si="61"/>
        <v>0</v>
      </c>
      <c r="BJ26" s="682">
        <f t="shared" si="62"/>
        <v>0</v>
      </c>
      <c r="BK26" s="124">
        <f t="shared" si="63"/>
        <v>0</v>
      </c>
      <c r="BL26" s="125">
        <f t="shared" si="64"/>
        <v>0</v>
      </c>
      <c r="BM26" s="95" t="b">
        <f t="shared" si="65"/>
        <v>0</v>
      </c>
      <c r="BN26" s="96" t="b">
        <f t="shared" si="66"/>
        <v>0</v>
      </c>
      <c r="BO26" s="97">
        <f t="shared" si="67"/>
        <v>0</v>
      </c>
      <c r="BP26" s="98">
        <f t="shared" si="68"/>
        <v>0</v>
      </c>
      <c r="BQ26" s="682">
        <f t="shared" si="69"/>
        <v>0</v>
      </c>
      <c r="BR26" s="99">
        <f t="shared" si="70"/>
        <v>1</v>
      </c>
      <c r="BS26" s="100">
        <f t="shared" si="71"/>
        <v>0</v>
      </c>
      <c r="BT26" s="101" t="b">
        <f t="shared" si="72"/>
        <v>0</v>
      </c>
      <c r="BU26" s="99">
        <f t="shared" si="73"/>
        <v>0</v>
      </c>
      <c r="BV26" s="100">
        <f t="shared" si="74"/>
        <v>1</v>
      </c>
      <c r="BW26" s="101" t="b">
        <f t="shared" si="75"/>
        <v>0</v>
      </c>
      <c r="BX26" s="102">
        <f t="shared" si="76"/>
        <v>0</v>
      </c>
      <c r="BY26" s="682">
        <f t="shared" si="77"/>
        <v>0</v>
      </c>
      <c r="BZ26" s="124">
        <f t="shared" si="78"/>
        <v>0</v>
      </c>
      <c r="CA26" s="125">
        <f t="shared" si="79"/>
        <v>0</v>
      </c>
      <c r="CB26" s="95" t="b">
        <f t="shared" si="80"/>
        <v>0</v>
      </c>
      <c r="CC26" s="96" t="b">
        <f t="shared" si="81"/>
        <v>0</v>
      </c>
      <c r="CD26" s="97">
        <f t="shared" si="82"/>
        <v>0</v>
      </c>
      <c r="CE26" s="98">
        <f t="shared" si="83"/>
        <v>0</v>
      </c>
      <c r="CF26" s="682">
        <f t="shared" si="84"/>
        <v>0</v>
      </c>
      <c r="CG26" s="99">
        <f t="shared" si="85"/>
        <v>1</v>
      </c>
      <c r="CH26" s="100">
        <f t="shared" si="86"/>
        <v>0</v>
      </c>
      <c r="CI26" s="101" t="b">
        <f t="shared" si="87"/>
        <v>0</v>
      </c>
      <c r="CJ26" s="99">
        <f t="shared" si="88"/>
        <v>0</v>
      </c>
      <c r="CK26" s="100">
        <f t="shared" si="89"/>
        <v>1</v>
      </c>
      <c r="CL26" s="101" t="b">
        <f t="shared" si="90"/>
        <v>0</v>
      </c>
      <c r="CM26" s="102">
        <f t="shared" si="91"/>
        <v>0</v>
      </c>
      <c r="CN26" s="682">
        <f t="shared" si="92"/>
        <v>0</v>
      </c>
      <c r="CO26" s="124">
        <f t="shared" si="93"/>
        <v>0</v>
      </c>
      <c r="CP26" s="125">
        <f t="shared" si="94"/>
        <v>0</v>
      </c>
      <c r="CQ26" s="103" t="b">
        <f t="shared" si="95"/>
        <v>0</v>
      </c>
      <c r="CR26" s="96" t="b">
        <f t="shared" si="96"/>
        <v>0</v>
      </c>
      <c r="CS26" s="97">
        <f t="shared" si="97"/>
        <v>0</v>
      </c>
      <c r="CT26" s="98">
        <f t="shared" si="98"/>
        <v>0</v>
      </c>
      <c r="CU26" s="682">
        <f t="shared" si="99"/>
        <v>0</v>
      </c>
      <c r="CV26" s="99">
        <f t="shared" si="100"/>
        <v>1</v>
      </c>
      <c r="CW26" s="100">
        <f t="shared" si="101"/>
        <v>0</v>
      </c>
      <c r="CX26" s="101" t="b">
        <f t="shared" si="102"/>
        <v>0</v>
      </c>
      <c r="CY26" s="99">
        <f t="shared" si="103"/>
        <v>0</v>
      </c>
      <c r="CZ26" s="100">
        <f t="shared" si="104"/>
        <v>1</v>
      </c>
      <c r="DA26" s="101" t="b">
        <f t="shared" si="105"/>
        <v>0</v>
      </c>
      <c r="DB26" s="102">
        <f t="shared" si="106"/>
        <v>0</v>
      </c>
      <c r="DC26" s="683">
        <f t="shared" si="107"/>
        <v>0</v>
      </c>
      <c r="DD26" s="123">
        <f t="shared" si="108"/>
        <v>0</v>
      </c>
      <c r="DE26" s="104">
        <f t="shared" si="109"/>
        <v>0</v>
      </c>
      <c r="DG26" s="58">
        <v>2029</v>
      </c>
      <c r="DH26" s="144"/>
      <c r="DI26" s="144"/>
      <c r="DJ26" s="144"/>
      <c r="DK26" s="144"/>
      <c r="DL26" s="117" t="s">
        <v>598</v>
      </c>
      <c r="DM26" s="134" t="str">
        <f>IF(祝日表!B28="","",祝日表!B28)</f>
        <v/>
      </c>
      <c r="DN26" s="148"/>
      <c r="DO26" s="148"/>
      <c r="DP26" s="148"/>
      <c r="DQ26" s="148"/>
      <c r="DR26" s="162"/>
      <c r="DS26" s="164"/>
      <c r="DT26" s="166">
        <f>INDEX(DU18:DU24,DW24)</f>
        <v>44186</v>
      </c>
      <c r="DU26" s="168"/>
      <c r="DV26" s="152"/>
      <c r="DW26" s="144"/>
      <c r="DX26" s="152"/>
      <c r="DY26" s="139">
        <f t="shared" si="2"/>
        <v>0</v>
      </c>
      <c r="DZ26" s="119">
        <f t="shared" si="110"/>
        <v>0</v>
      </c>
      <c r="EA26" s="51">
        <f>IF(AND(DY26=1,DZ26=1),1,DY26+DZ26)</f>
        <v>0</v>
      </c>
      <c r="EB26" s="144"/>
      <c r="EC26" s="51">
        <f t="shared" si="28"/>
        <v>0</v>
      </c>
      <c r="ED26" s="144"/>
      <c r="EE26" s="622"/>
      <c r="EF26" s="622"/>
      <c r="EG26" s="622"/>
      <c r="EH26" s="622"/>
    </row>
    <row r="27" spans="1:138" ht="15" customHeight="1">
      <c r="A27" s="428">
        <f t="shared" si="29"/>
        <v>44420</v>
      </c>
      <c r="B27" s="132" t="str">
        <f t="shared" si="30"/>
        <v>木</v>
      </c>
      <c r="C27" s="129" t="str">
        <f t="shared" si="3"/>
        <v/>
      </c>
      <c r="D27" s="240"/>
      <c r="E27" s="239">
        <f t="shared" si="4"/>
        <v>0</v>
      </c>
      <c r="F27" s="241"/>
      <c r="G27" s="239">
        <f t="shared" si="5"/>
        <v>0</v>
      </c>
      <c r="H27" s="92">
        <f t="shared" si="31"/>
        <v>0</v>
      </c>
      <c r="I27" s="93">
        <f t="shared" si="32"/>
        <v>0</v>
      </c>
      <c r="J27" s="184">
        <f t="shared" si="6"/>
        <v>0</v>
      </c>
      <c r="K27" s="194">
        <f t="shared" si="7"/>
        <v>0</v>
      </c>
      <c r="L27" s="357">
        <f t="shared" si="8"/>
        <v>0</v>
      </c>
      <c r="M27" s="184">
        <f t="shared" si="9"/>
        <v>0</v>
      </c>
      <c r="N27" s="93">
        <f t="shared" si="1"/>
        <v>0</v>
      </c>
      <c r="O27" s="94">
        <f t="shared" si="113"/>
        <v>0</v>
      </c>
      <c r="P27" s="225"/>
      <c r="Q27" s="564"/>
      <c r="R27" s="298">
        <f t="shared" si="11"/>
        <v>0</v>
      </c>
      <c r="S27" s="138">
        <f t="shared" si="12"/>
        <v>0</v>
      </c>
      <c r="T27" s="298">
        <f t="shared" si="13"/>
        <v>0</v>
      </c>
      <c r="U27" s="298">
        <f t="shared" si="14"/>
        <v>0</v>
      </c>
      <c r="V27" s="298">
        <f t="shared" si="15"/>
        <v>0</v>
      </c>
      <c r="W27" s="138">
        <f t="shared" si="16"/>
        <v>0</v>
      </c>
      <c r="X27" s="138">
        <f t="shared" si="17"/>
        <v>0</v>
      </c>
      <c r="Y27" s="138">
        <f t="shared" si="18"/>
        <v>0</v>
      </c>
      <c r="Z27" s="138">
        <f t="shared" si="19"/>
        <v>0</v>
      </c>
      <c r="AA27" s="138">
        <f t="shared" si="20"/>
        <v>0</v>
      </c>
      <c r="AB27" s="138">
        <f t="shared" si="21"/>
        <v>0</v>
      </c>
      <c r="AC27" s="138">
        <f t="shared" si="22"/>
        <v>0</v>
      </c>
      <c r="AD27" s="138">
        <f t="shared" si="23"/>
        <v>0</v>
      </c>
      <c r="AE27" s="342"/>
      <c r="AF27" s="544" t="s">
        <v>597</v>
      </c>
      <c r="AG27" s="124">
        <f t="shared" si="33"/>
        <v>0.54166666666666663</v>
      </c>
      <c r="AH27" s="125">
        <f t="shared" si="34"/>
        <v>0.57291666666666663</v>
      </c>
      <c r="AI27" s="95" t="b">
        <f t="shared" si="35"/>
        <v>0</v>
      </c>
      <c r="AJ27" s="96" t="b">
        <f t="shared" si="36"/>
        <v>0</v>
      </c>
      <c r="AK27" s="97">
        <f t="shared" si="37"/>
        <v>3.125E-2</v>
      </c>
      <c r="AL27" s="98">
        <f t="shared" si="38"/>
        <v>3.125E-2</v>
      </c>
      <c r="AM27" s="682">
        <f t="shared" si="39"/>
        <v>0</v>
      </c>
      <c r="AN27" s="99">
        <f t="shared" si="40"/>
        <v>1</v>
      </c>
      <c r="AO27" s="100">
        <f t="shared" si="41"/>
        <v>0</v>
      </c>
      <c r="AP27" s="101" t="b">
        <f t="shared" si="42"/>
        <v>0</v>
      </c>
      <c r="AQ27" s="99">
        <f t="shared" si="43"/>
        <v>1</v>
      </c>
      <c r="AR27" s="100">
        <f t="shared" si="44"/>
        <v>0</v>
      </c>
      <c r="AS27" s="101" t="b">
        <f t="shared" si="45"/>
        <v>0</v>
      </c>
      <c r="AT27" s="102">
        <f t="shared" si="46"/>
        <v>0</v>
      </c>
      <c r="AU27" s="682">
        <f t="shared" si="47"/>
        <v>0</v>
      </c>
      <c r="AV27" s="124">
        <f t="shared" si="48"/>
        <v>0.875</v>
      </c>
      <c r="AW27" s="125">
        <f t="shared" si="49"/>
        <v>0.89583333333333337</v>
      </c>
      <c r="AX27" s="95" t="b">
        <f t="shared" si="50"/>
        <v>0</v>
      </c>
      <c r="AY27" s="96" t="b">
        <f t="shared" si="51"/>
        <v>0</v>
      </c>
      <c r="AZ27" s="97">
        <f t="shared" si="52"/>
        <v>2.083333333333337E-2</v>
      </c>
      <c r="BA27" s="98">
        <f t="shared" si="53"/>
        <v>2.083333333333337E-2</v>
      </c>
      <c r="BB27" s="682">
        <f t="shared" si="54"/>
        <v>0</v>
      </c>
      <c r="BC27" s="99">
        <f t="shared" si="55"/>
        <v>1</v>
      </c>
      <c r="BD27" s="100">
        <f t="shared" si="56"/>
        <v>0</v>
      </c>
      <c r="BE27" s="101" t="b">
        <f t="shared" si="57"/>
        <v>0</v>
      </c>
      <c r="BF27" s="99">
        <f t="shared" si="58"/>
        <v>1</v>
      </c>
      <c r="BG27" s="100">
        <f t="shared" si="59"/>
        <v>0</v>
      </c>
      <c r="BH27" s="101" t="b">
        <f t="shared" si="60"/>
        <v>0</v>
      </c>
      <c r="BI27" s="102">
        <f t="shared" si="61"/>
        <v>0</v>
      </c>
      <c r="BJ27" s="682">
        <f t="shared" si="62"/>
        <v>0</v>
      </c>
      <c r="BK27" s="124">
        <f t="shared" si="63"/>
        <v>0</v>
      </c>
      <c r="BL27" s="125">
        <f t="shared" si="64"/>
        <v>0</v>
      </c>
      <c r="BM27" s="95" t="b">
        <f t="shared" si="65"/>
        <v>0</v>
      </c>
      <c r="BN27" s="96" t="b">
        <f t="shared" si="66"/>
        <v>0</v>
      </c>
      <c r="BO27" s="97">
        <f t="shared" si="67"/>
        <v>0</v>
      </c>
      <c r="BP27" s="98">
        <f t="shared" si="68"/>
        <v>0</v>
      </c>
      <c r="BQ27" s="682">
        <f t="shared" si="69"/>
        <v>0</v>
      </c>
      <c r="BR27" s="99">
        <f t="shared" si="70"/>
        <v>1</v>
      </c>
      <c r="BS27" s="100">
        <f t="shared" si="71"/>
        <v>0</v>
      </c>
      <c r="BT27" s="101" t="b">
        <f t="shared" si="72"/>
        <v>0</v>
      </c>
      <c r="BU27" s="99">
        <f t="shared" si="73"/>
        <v>0</v>
      </c>
      <c r="BV27" s="100">
        <f t="shared" si="74"/>
        <v>1</v>
      </c>
      <c r="BW27" s="101" t="b">
        <f t="shared" si="75"/>
        <v>0</v>
      </c>
      <c r="BX27" s="102">
        <f t="shared" si="76"/>
        <v>0</v>
      </c>
      <c r="BY27" s="682">
        <f t="shared" si="77"/>
        <v>0</v>
      </c>
      <c r="BZ27" s="124">
        <f t="shared" si="78"/>
        <v>0</v>
      </c>
      <c r="CA27" s="125">
        <f t="shared" si="79"/>
        <v>0</v>
      </c>
      <c r="CB27" s="95" t="b">
        <f t="shared" si="80"/>
        <v>0</v>
      </c>
      <c r="CC27" s="96" t="b">
        <f t="shared" si="81"/>
        <v>0</v>
      </c>
      <c r="CD27" s="97">
        <f t="shared" si="82"/>
        <v>0</v>
      </c>
      <c r="CE27" s="98">
        <f t="shared" si="83"/>
        <v>0</v>
      </c>
      <c r="CF27" s="682">
        <f t="shared" si="84"/>
        <v>0</v>
      </c>
      <c r="CG27" s="99">
        <f t="shared" si="85"/>
        <v>1</v>
      </c>
      <c r="CH27" s="100">
        <f t="shared" si="86"/>
        <v>0</v>
      </c>
      <c r="CI27" s="101" t="b">
        <f t="shared" si="87"/>
        <v>0</v>
      </c>
      <c r="CJ27" s="99">
        <f t="shared" si="88"/>
        <v>0</v>
      </c>
      <c r="CK27" s="100">
        <f t="shared" si="89"/>
        <v>1</v>
      </c>
      <c r="CL27" s="101" t="b">
        <f t="shared" si="90"/>
        <v>0</v>
      </c>
      <c r="CM27" s="102">
        <f t="shared" si="91"/>
        <v>0</v>
      </c>
      <c r="CN27" s="682">
        <f t="shared" si="92"/>
        <v>0</v>
      </c>
      <c r="CO27" s="124">
        <f t="shared" si="93"/>
        <v>0</v>
      </c>
      <c r="CP27" s="125">
        <f t="shared" si="94"/>
        <v>0</v>
      </c>
      <c r="CQ27" s="103" t="b">
        <f t="shared" si="95"/>
        <v>0</v>
      </c>
      <c r="CR27" s="96" t="b">
        <f t="shared" si="96"/>
        <v>0</v>
      </c>
      <c r="CS27" s="97">
        <f t="shared" si="97"/>
        <v>0</v>
      </c>
      <c r="CT27" s="98">
        <f t="shared" si="98"/>
        <v>0</v>
      </c>
      <c r="CU27" s="682">
        <f t="shared" si="99"/>
        <v>0</v>
      </c>
      <c r="CV27" s="99">
        <f t="shared" si="100"/>
        <v>1</v>
      </c>
      <c r="CW27" s="100">
        <f t="shared" si="101"/>
        <v>0</v>
      </c>
      <c r="CX27" s="101" t="b">
        <f t="shared" si="102"/>
        <v>0</v>
      </c>
      <c r="CY27" s="99">
        <f t="shared" si="103"/>
        <v>0</v>
      </c>
      <c r="CZ27" s="100">
        <f t="shared" si="104"/>
        <v>1</v>
      </c>
      <c r="DA27" s="101" t="b">
        <f t="shared" si="105"/>
        <v>0</v>
      </c>
      <c r="DB27" s="102">
        <f t="shared" si="106"/>
        <v>0</v>
      </c>
      <c r="DC27" s="683">
        <f t="shared" si="107"/>
        <v>0</v>
      </c>
      <c r="DD27" s="123">
        <f t="shared" si="108"/>
        <v>0</v>
      </c>
      <c r="DE27" s="104">
        <f t="shared" si="109"/>
        <v>0</v>
      </c>
      <c r="DG27" s="58">
        <v>2030</v>
      </c>
      <c r="DH27" s="144"/>
      <c r="DI27" s="144"/>
      <c r="DJ27" s="144"/>
      <c r="DK27" s="144"/>
      <c r="DL27" s="117" t="s">
        <v>598</v>
      </c>
      <c r="DM27" s="134" t="str">
        <f>IF(祝日表!B29="","",祝日表!B29)</f>
        <v/>
      </c>
      <c r="DN27" s="148"/>
      <c r="DO27" s="148"/>
      <c r="DP27" s="148"/>
      <c r="DQ27" s="148"/>
      <c r="DR27" s="162"/>
      <c r="DS27" s="151"/>
      <c r="DT27" s="144"/>
      <c r="DU27" s="144"/>
      <c r="DV27" s="152"/>
      <c r="DW27" s="144"/>
      <c r="DX27" s="152"/>
      <c r="DY27" s="139">
        <f t="shared" si="2"/>
        <v>0</v>
      </c>
      <c r="DZ27" s="119">
        <f t="shared" si="110"/>
        <v>0</v>
      </c>
      <c r="EA27" s="51">
        <f t="shared" si="27"/>
        <v>0</v>
      </c>
      <c r="EB27" s="144"/>
      <c r="EC27" s="51">
        <f t="shared" si="28"/>
        <v>0</v>
      </c>
      <c r="ED27" s="144"/>
      <c r="EE27" s="622"/>
      <c r="EF27" s="622"/>
      <c r="EG27" s="622"/>
      <c r="EH27" s="622"/>
    </row>
    <row r="28" spans="1:138" ht="15" customHeight="1">
      <c r="A28" s="91">
        <f t="shared" si="29"/>
        <v>44421</v>
      </c>
      <c r="B28" s="132" t="str">
        <f t="shared" si="30"/>
        <v>金</v>
      </c>
      <c r="C28" s="129" t="str">
        <f t="shared" si="3"/>
        <v/>
      </c>
      <c r="D28" s="240"/>
      <c r="E28" s="239">
        <f t="shared" si="4"/>
        <v>0</v>
      </c>
      <c r="F28" s="241"/>
      <c r="G28" s="239">
        <f t="shared" si="5"/>
        <v>0</v>
      </c>
      <c r="H28" s="92">
        <f t="shared" si="31"/>
        <v>0</v>
      </c>
      <c r="I28" s="93">
        <f t="shared" si="32"/>
        <v>0</v>
      </c>
      <c r="J28" s="184">
        <f t="shared" si="6"/>
        <v>0</v>
      </c>
      <c r="K28" s="194">
        <f t="shared" si="7"/>
        <v>0</v>
      </c>
      <c r="L28" s="357">
        <f t="shared" si="8"/>
        <v>0</v>
      </c>
      <c r="M28" s="184">
        <f t="shared" si="9"/>
        <v>0</v>
      </c>
      <c r="N28" s="93">
        <f t="shared" si="1"/>
        <v>0</v>
      </c>
      <c r="O28" s="94">
        <f t="shared" si="113"/>
        <v>0</v>
      </c>
      <c r="P28" s="225"/>
      <c r="Q28" s="564"/>
      <c r="R28" s="298">
        <f t="shared" si="11"/>
        <v>0</v>
      </c>
      <c r="S28" s="138">
        <f t="shared" si="12"/>
        <v>0</v>
      </c>
      <c r="T28" s="298">
        <f t="shared" si="13"/>
        <v>0</v>
      </c>
      <c r="U28" s="298">
        <f t="shared" si="14"/>
        <v>0</v>
      </c>
      <c r="V28" s="298">
        <f t="shared" si="15"/>
        <v>0</v>
      </c>
      <c r="W28" s="138">
        <f t="shared" si="16"/>
        <v>0</v>
      </c>
      <c r="X28" s="138">
        <f t="shared" si="17"/>
        <v>0</v>
      </c>
      <c r="Y28" s="138">
        <f t="shared" si="18"/>
        <v>0</v>
      </c>
      <c r="Z28" s="138">
        <f t="shared" si="19"/>
        <v>0</v>
      </c>
      <c r="AA28" s="138">
        <f t="shared" si="20"/>
        <v>0</v>
      </c>
      <c r="AB28" s="138">
        <f t="shared" si="21"/>
        <v>0</v>
      </c>
      <c r="AC28" s="138">
        <f t="shared" si="22"/>
        <v>0</v>
      </c>
      <c r="AD28" s="138">
        <f t="shared" si="23"/>
        <v>0</v>
      </c>
      <c r="AE28" s="342"/>
      <c r="AF28" s="544" t="s">
        <v>597</v>
      </c>
      <c r="AG28" s="124">
        <f t="shared" si="33"/>
        <v>0.54166666666666663</v>
      </c>
      <c r="AH28" s="125">
        <f t="shared" si="34"/>
        <v>0.57291666666666663</v>
      </c>
      <c r="AI28" s="95" t="b">
        <f t="shared" si="35"/>
        <v>0</v>
      </c>
      <c r="AJ28" s="96" t="b">
        <f t="shared" si="36"/>
        <v>0</v>
      </c>
      <c r="AK28" s="97">
        <f t="shared" si="37"/>
        <v>3.125E-2</v>
      </c>
      <c r="AL28" s="98">
        <f t="shared" si="38"/>
        <v>3.125E-2</v>
      </c>
      <c r="AM28" s="682">
        <f t="shared" si="39"/>
        <v>0</v>
      </c>
      <c r="AN28" s="99">
        <f t="shared" si="40"/>
        <v>1</v>
      </c>
      <c r="AO28" s="100">
        <f t="shared" si="41"/>
        <v>0</v>
      </c>
      <c r="AP28" s="101" t="b">
        <f t="shared" si="42"/>
        <v>0</v>
      </c>
      <c r="AQ28" s="99">
        <f t="shared" si="43"/>
        <v>1</v>
      </c>
      <c r="AR28" s="100">
        <f t="shared" si="44"/>
        <v>0</v>
      </c>
      <c r="AS28" s="101" t="b">
        <f t="shared" si="45"/>
        <v>0</v>
      </c>
      <c r="AT28" s="102">
        <f t="shared" si="46"/>
        <v>0</v>
      </c>
      <c r="AU28" s="682">
        <f t="shared" si="47"/>
        <v>0</v>
      </c>
      <c r="AV28" s="124">
        <f t="shared" si="48"/>
        <v>0.875</v>
      </c>
      <c r="AW28" s="125">
        <f t="shared" si="49"/>
        <v>0.89583333333333337</v>
      </c>
      <c r="AX28" s="95" t="b">
        <f t="shared" si="50"/>
        <v>0</v>
      </c>
      <c r="AY28" s="96" t="b">
        <f t="shared" si="51"/>
        <v>0</v>
      </c>
      <c r="AZ28" s="97">
        <f t="shared" si="52"/>
        <v>2.083333333333337E-2</v>
      </c>
      <c r="BA28" s="98">
        <f t="shared" si="53"/>
        <v>2.083333333333337E-2</v>
      </c>
      <c r="BB28" s="682">
        <f t="shared" si="54"/>
        <v>0</v>
      </c>
      <c r="BC28" s="99">
        <f t="shared" si="55"/>
        <v>1</v>
      </c>
      <c r="BD28" s="100">
        <f t="shared" si="56"/>
        <v>0</v>
      </c>
      <c r="BE28" s="101" t="b">
        <f t="shared" si="57"/>
        <v>0</v>
      </c>
      <c r="BF28" s="99">
        <f t="shared" si="58"/>
        <v>1</v>
      </c>
      <c r="BG28" s="100">
        <f t="shared" si="59"/>
        <v>0</v>
      </c>
      <c r="BH28" s="101" t="b">
        <f t="shared" si="60"/>
        <v>0</v>
      </c>
      <c r="BI28" s="102">
        <f t="shared" si="61"/>
        <v>0</v>
      </c>
      <c r="BJ28" s="682">
        <f t="shared" si="62"/>
        <v>0</v>
      </c>
      <c r="BK28" s="124">
        <f t="shared" si="63"/>
        <v>0</v>
      </c>
      <c r="BL28" s="125">
        <f t="shared" si="64"/>
        <v>0</v>
      </c>
      <c r="BM28" s="95" t="b">
        <f t="shared" si="65"/>
        <v>0</v>
      </c>
      <c r="BN28" s="96" t="b">
        <f t="shared" si="66"/>
        <v>0</v>
      </c>
      <c r="BO28" s="97">
        <f t="shared" si="67"/>
        <v>0</v>
      </c>
      <c r="BP28" s="98">
        <f t="shared" si="68"/>
        <v>0</v>
      </c>
      <c r="BQ28" s="682">
        <f t="shared" si="69"/>
        <v>0</v>
      </c>
      <c r="BR28" s="99">
        <f t="shared" si="70"/>
        <v>1</v>
      </c>
      <c r="BS28" s="100">
        <f t="shared" si="71"/>
        <v>0</v>
      </c>
      <c r="BT28" s="101" t="b">
        <f t="shared" si="72"/>
        <v>0</v>
      </c>
      <c r="BU28" s="99">
        <f t="shared" si="73"/>
        <v>0</v>
      </c>
      <c r="BV28" s="100">
        <f t="shared" si="74"/>
        <v>1</v>
      </c>
      <c r="BW28" s="101" t="b">
        <f t="shared" si="75"/>
        <v>0</v>
      </c>
      <c r="BX28" s="102">
        <f t="shared" si="76"/>
        <v>0</v>
      </c>
      <c r="BY28" s="682">
        <f t="shared" si="77"/>
        <v>0</v>
      </c>
      <c r="BZ28" s="124">
        <f t="shared" si="78"/>
        <v>0</v>
      </c>
      <c r="CA28" s="125">
        <f t="shared" si="79"/>
        <v>0</v>
      </c>
      <c r="CB28" s="95" t="b">
        <f t="shared" si="80"/>
        <v>0</v>
      </c>
      <c r="CC28" s="96" t="b">
        <f t="shared" si="81"/>
        <v>0</v>
      </c>
      <c r="CD28" s="97">
        <f t="shared" si="82"/>
        <v>0</v>
      </c>
      <c r="CE28" s="98">
        <f t="shared" si="83"/>
        <v>0</v>
      </c>
      <c r="CF28" s="682">
        <f t="shared" si="84"/>
        <v>0</v>
      </c>
      <c r="CG28" s="99">
        <f t="shared" si="85"/>
        <v>1</v>
      </c>
      <c r="CH28" s="100">
        <f t="shared" si="86"/>
        <v>0</v>
      </c>
      <c r="CI28" s="101" t="b">
        <f t="shared" si="87"/>
        <v>0</v>
      </c>
      <c r="CJ28" s="99">
        <f t="shared" si="88"/>
        <v>0</v>
      </c>
      <c r="CK28" s="100">
        <f t="shared" si="89"/>
        <v>1</v>
      </c>
      <c r="CL28" s="101" t="b">
        <f t="shared" si="90"/>
        <v>0</v>
      </c>
      <c r="CM28" s="102">
        <f t="shared" si="91"/>
        <v>0</v>
      </c>
      <c r="CN28" s="682">
        <f t="shared" si="92"/>
        <v>0</v>
      </c>
      <c r="CO28" s="124">
        <f t="shared" si="93"/>
        <v>0</v>
      </c>
      <c r="CP28" s="125">
        <f t="shared" si="94"/>
        <v>0</v>
      </c>
      <c r="CQ28" s="103" t="b">
        <f t="shared" si="95"/>
        <v>0</v>
      </c>
      <c r="CR28" s="96" t="b">
        <f t="shared" si="96"/>
        <v>0</v>
      </c>
      <c r="CS28" s="97">
        <f t="shared" si="97"/>
        <v>0</v>
      </c>
      <c r="CT28" s="98">
        <f t="shared" si="98"/>
        <v>0</v>
      </c>
      <c r="CU28" s="682">
        <f t="shared" si="99"/>
        <v>0</v>
      </c>
      <c r="CV28" s="99">
        <f t="shared" si="100"/>
        <v>1</v>
      </c>
      <c r="CW28" s="100">
        <f t="shared" si="101"/>
        <v>0</v>
      </c>
      <c r="CX28" s="101" t="b">
        <f t="shared" si="102"/>
        <v>0</v>
      </c>
      <c r="CY28" s="99">
        <f t="shared" si="103"/>
        <v>0</v>
      </c>
      <c r="CZ28" s="100">
        <f t="shared" si="104"/>
        <v>1</v>
      </c>
      <c r="DA28" s="101" t="b">
        <f t="shared" si="105"/>
        <v>0</v>
      </c>
      <c r="DB28" s="102">
        <f t="shared" si="106"/>
        <v>0</v>
      </c>
      <c r="DC28" s="683">
        <f t="shared" si="107"/>
        <v>0</v>
      </c>
      <c r="DD28" s="123">
        <f t="shared" si="108"/>
        <v>0</v>
      </c>
      <c r="DE28" s="104">
        <f t="shared" si="109"/>
        <v>0</v>
      </c>
      <c r="DG28" s="144"/>
      <c r="DH28" s="144"/>
      <c r="DI28" s="144"/>
      <c r="DJ28" s="144"/>
      <c r="DK28" s="144"/>
      <c r="DL28" s="117" t="s">
        <v>598</v>
      </c>
      <c r="DM28" s="134" t="str">
        <f>IF(祝日表!B30="","",祝日表!B30)</f>
        <v/>
      </c>
      <c r="DN28" s="148"/>
      <c r="DO28" s="148"/>
      <c r="DP28" s="148"/>
      <c r="DQ28" s="148"/>
      <c r="DR28" s="162"/>
      <c r="DS28" s="151"/>
      <c r="DT28" s="58" t="s">
        <v>447</v>
      </c>
      <c r="DU28" s="144"/>
      <c r="DV28" s="152"/>
      <c r="DW28" s="144"/>
      <c r="DX28" s="152"/>
      <c r="DY28" s="139">
        <f t="shared" si="2"/>
        <v>0</v>
      </c>
      <c r="DZ28" s="119">
        <f t="shared" si="110"/>
        <v>0</v>
      </c>
      <c r="EA28" s="51">
        <f t="shared" si="27"/>
        <v>0</v>
      </c>
      <c r="EB28" s="144"/>
      <c r="EC28" s="51">
        <f t="shared" si="28"/>
        <v>0</v>
      </c>
      <c r="ED28" s="144"/>
      <c r="EE28" s="622"/>
      <c r="EF28" s="622"/>
      <c r="EG28" s="622"/>
      <c r="EH28" s="622"/>
    </row>
    <row r="29" spans="1:138" ht="15" customHeight="1">
      <c r="A29" s="91">
        <f t="shared" si="29"/>
        <v>44422</v>
      </c>
      <c r="B29" s="132" t="str">
        <f t="shared" si="30"/>
        <v>土</v>
      </c>
      <c r="C29" s="129" t="str">
        <f t="shared" si="3"/>
        <v/>
      </c>
      <c r="D29" s="240"/>
      <c r="E29" s="239">
        <f t="shared" si="4"/>
        <v>0</v>
      </c>
      <c r="F29" s="241"/>
      <c r="G29" s="239">
        <f t="shared" si="5"/>
        <v>0</v>
      </c>
      <c r="H29" s="92">
        <f t="shared" si="31"/>
        <v>0</v>
      </c>
      <c r="I29" s="93">
        <f t="shared" si="32"/>
        <v>0</v>
      </c>
      <c r="J29" s="184">
        <f t="shared" si="6"/>
        <v>0</v>
      </c>
      <c r="K29" s="194">
        <f t="shared" si="7"/>
        <v>0</v>
      </c>
      <c r="L29" s="357">
        <f t="shared" si="8"/>
        <v>0</v>
      </c>
      <c r="M29" s="184">
        <f t="shared" si="9"/>
        <v>0</v>
      </c>
      <c r="N29" s="93">
        <f t="shared" si="1"/>
        <v>0</v>
      </c>
      <c r="O29" s="94">
        <f t="shared" si="113"/>
        <v>0</v>
      </c>
      <c r="P29" s="225"/>
      <c r="Q29" s="564"/>
      <c r="R29" s="298">
        <f t="shared" si="11"/>
        <v>0</v>
      </c>
      <c r="S29" s="138">
        <f t="shared" si="12"/>
        <v>0</v>
      </c>
      <c r="T29" s="298">
        <f t="shared" si="13"/>
        <v>0</v>
      </c>
      <c r="U29" s="298">
        <f t="shared" si="14"/>
        <v>0</v>
      </c>
      <c r="V29" s="298">
        <f t="shared" si="15"/>
        <v>0</v>
      </c>
      <c r="W29" s="138">
        <f t="shared" si="16"/>
        <v>0</v>
      </c>
      <c r="X29" s="138">
        <f t="shared" si="17"/>
        <v>0</v>
      </c>
      <c r="Y29" s="138">
        <f t="shared" si="18"/>
        <v>0</v>
      </c>
      <c r="Z29" s="138">
        <f t="shared" si="19"/>
        <v>0</v>
      </c>
      <c r="AA29" s="138">
        <f t="shared" si="20"/>
        <v>0</v>
      </c>
      <c r="AB29" s="138">
        <f t="shared" si="21"/>
        <v>0</v>
      </c>
      <c r="AC29" s="138">
        <f t="shared" si="22"/>
        <v>0</v>
      </c>
      <c r="AD29" s="138">
        <f t="shared" si="23"/>
        <v>0</v>
      </c>
      <c r="AE29" s="342"/>
      <c r="AF29" s="544"/>
      <c r="AG29" s="124">
        <f t="shared" si="33"/>
        <v>0.54166666666666663</v>
      </c>
      <c r="AH29" s="125">
        <f t="shared" si="34"/>
        <v>0.57291666666666663</v>
      </c>
      <c r="AI29" s="95" t="b">
        <f t="shared" si="35"/>
        <v>0</v>
      </c>
      <c r="AJ29" s="96" t="b">
        <f t="shared" si="36"/>
        <v>0</v>
      </c>
      <c r="AK29" s="97">
        <f t="shared" si="37"/>
        <v>3.125E-2</v>
      </c>
      <c r="AL29" s="98">
        <f t="shared" si="38"/>
        <v>3.125E-2</v>
      </c>
      <c r="AM29" s="682">
        <f t="shared" si="39"/>
        <v>0</v>
      </c>
      <c r="AN29" s="99">
        <f t="shared" si="40"/>
        <v>1</v>
      </c>
      <c r="AO29" s="100">
        <f t="shared" si="41"/>
        <v>0</v>
      </c>
      <c r="AP29" s="101" t="b">
        <f t="shared" si="42"/>
        <v>0</v>
      </c>
      <c r="AQ29" s="99">
        <f t="shared" si="43"/>
        <v>1</v>
      </c>
      <c r="AR29" s="100">
        <f t="shared" si="44"/>
        <v>0</v>
      </c>
      <c r="AS29" s="101" t="b">
        <f t="shared" si="45"/>
        <v>0</v>
      </c>
      <c r="AT29" s="102">
        <f t="shared" si="46"/>
        <v>0</v>
      </c>
      <c r="AU29" s="682">
        <f t="shared" si="47"/>
        <v>0</v>
      </c>
      <c r="AV29" s="124">
        <f t="shared" si="48"/>
        <v>0.875</v>
      </c>
      <c r="AW29" s="125">
        <f t="shared" si="49"/>
        <v>0.89583333333333337</v>
      </c>
      <c r="AX29" s="95" t="b">
        <f t="shared" si="50"/>
        <v>0</v>
      </c>
      <c r="AY29" s="96" t="b">
        <f t="shared" si="51"/>
        <v>0</v>
      </c>
      <c r="AZ29" s="97">
        <f t="shared" si="52"/>
        <v>2.083333333333337E-2</v>
      </c>
      <c r="BA29" s="98">
        <f t="shared" si="53"/>
        <v>2.083333333333337E-2</v>
      </c>
      <c r="BB29" s="682">
        <f t="shared" si="54"/>
        <v>0</v>
      </c>
      <c r="BC29" s="99">
        <f t="shared" si="55"/>
        <v>1</v>
      </c>
      <c r="BD29" s="100">
        <f t="shared" si="56"/>
        <v>0</v>
      </c>
      <c r="BE29" s="101" t="b">
        <f t="shared" si="57"/>
        <v>0</v>
      </c>
      <c r="BF29" s="99">
        <f t="shared" si="58"/>
        <v>1</v>
      </c>
      <c r="BG29" s="100">
        <f t="shared" si="59"/>
        <v>0</v>
      </c>
      <c r="BH29" s="101" t="b">
        <f t="shared" si="60"/>
        <v>0</v>
      </c>
      <c r="BI29" s="102">
        <f t="shared" si="61"/>
        <v>0</v>
      </c>
      <c r="BJ29" s="682">
        <f t="shared" si="62"/>
        <v>0</v>
      </c>
      <c r="BK29" s="124">
        <f t="shared" si="63"/>
        <v>0</v>
      </c>
      <c r="BL29" s="125">
        <f t="shared" si="64"/>
        <v>0</v>
      </c>
      <c r="BM29" s="95" t="b">
        <f t="shared" si="65"/>
        <v>0</v>
      </c>
      <c r="BN29" s="96" t="b">
        <f t="shared" si="66"/>
        <v>0</v>
      </c>
      <c r="BO29" s="97">
        <f t="shared" si="67"/>
        <v>0</v>
      </c>
      <c r="BP29" s="98">
        <f t="shared" si="68"/>
        <v>0</v>
      </c>
      <c r="BQ29" s="682">
        <f t="shared" si="69"/>
        <v>0</v>
      </c>
      <c r="BR29" s="99">
        <f t="shared" si="70"/>
        <v>1</v>
      </c>
      <c r="BS29" s="100">
        <f t="shared" si="71"/>
        <v>0</v>
      </c>
      <c r="BT29" s="101" t="b">
        <f t="shared" si="72"/>
        <v>0</v>
      </c>
      <c r="BU29" s="99">
        <f t="shared" si="73"/>
        <v>0</v>
      </c>
      <c r="BV29" s="100">
        <f t="shared" si="74"/>
        <v>1</v>
      </c>
      <c r="BW29" s="101" t="b">
        <f t="shared" si="75"/>
        <v>0</v>
      </c>
      <c r="BX29" s="102">
        <f t="shared" si="76"/>
        <v>0</v>
      </c>
      <c r="BY29" s="682">
        <f t="shared" si="77"/>
        <v>0</v>
      </c>
      <c r="BZ29" s="124">
        <f t="shared" si="78"/>
        <v>0</v>
      </c>
      <c r="CA29" s="125">
        <f t="shared" si="79"/>
        <v>0</v>
      </c>
      <c r="CB29" s="95" t="b">
        <f t="shared" si="80"/>
        <v>0</v>
      </c>
      <c r="CC29" s="96" t="b">
        <f t="shared" si="81"/>
        <v>0</v>
      </c>
      <c r="CD29" s="97">
        <f t="shared" si="82"/>
        <v>0</v>
      </c>
      <c r="CE29" s="98">
        <f t="shared" si="83"/>
        <v>0</v>
      </c>
      <c r="CF29" s="682">
        <f t="shared" si="84"/>
        <v>0</v>
      </c>
      <c r="CG29" s="99">
        <f t="shared" si="85"/>
        <v>1</v>
      </c>
      <c r="CH29" s="100">
        <f t="shared" si="86"/>
        <v>0</v>
      </c>
      <c r="CI29" s="101" t="b">
        <f t="shared" si="87"/>
        <v>0</v>
      </c>
      <c r="CJ29" s="99">
        <f t="shared" si="88"/>
        <v>0</v>
      </c>
      <c r="CK29" s="100">
        <f t="shared" si="89"/>
        <v>1</v>
      </c>
      <c r="CL29" s="101" t="b">
        <f t="shared" si="90"/>
        <v>0</v>
      </c>
      <c r="CM29" s="102">
        <f t="shared" si="91"/>
        <v>0</v>
      </c>
      <c r="CN29" s="682">
        <f t="shared" si="92"/>
        <v>0</v>
      </c>
      <c r="CO29" s="124">
        <f t="shared" si="93"/>
        <v>0</v>
      </c>
      <c r="CP29" s="125">
        <f t="shared" si="94"/>
        <v>0</v>
      </c>
      <c r="CQ29" s="103" t="b">
        <f t="shared" si="95"/>
        <v>0</v>
      </c>
      <c r="CR29" s="96" t="b">
        <f t="shared" si="96"/>
        <v>0</v>
      </c>
      <c r="CS29" s="97">
        <f t="shared" si="97"/>
        <v>0</v>
      </c>
      <c r="CT29" s="98">
        <f t="shared" si="98"/>
        <v>0</v>
      </c>
      <c r="CU29" s="682">
        <f t="shared" si="99"/>
        <v>0</v>
      </c>
      <c r="CV29" s="99">
        <f t="shared" si="100"/>
        <v>1</v>
      </c>
      <c r="CW29" s="100">
        <f t="shared" si="101"/>
        <v>0</v>
      </c>
      <c r="CX29" s="101" t="b">
        <f t="shared" si="102"/>
        <v>0</v>
      </c>
      <c r="CY29" s="99">
        <f t="shared" si="103"/>
        <v>0</v>
      </c>
      <c r="CZ29" s="100">
        <f t="shared" si="104"/>
        <v>1</v>
      </c>
      <c r="DA29" s="101" t="b">
        <f t="shared" si="105"/>
        <v>0</v>
      </c>
      <c r="DB29" s="102">
        <f t="shared" si="106"/>
        <v>0</v>
      </c>
      <c r="DC29" s="683">
        <f t="shared" si="107"/>
        <v>0</v>
      </c>
      <c r="DD29" s="123">
        <f t="shared" si="108"/>
        <v>0</v>
      </c>
      <c r="DE29" s="104">
        <f t="shared" si="109"/>
        <v>0</v>
      </c>
      <c r="DG29" s="51" t="s">
        <v>599</v>
      </c>
      <c r="DH29" s="51" t="s">
        <v>600</v>
      </c>
      <c r="DI29" s="144"/>
      <c r="DJ29" s="51" t="s">
        <v>601</v>
      </c>
      <c r="DK29" s="144"/>
      <c r="DL29" s="117" t="s">
        <v>598</v>
      </c>
      <c r="DM29" s="134" t="str">
        <f>IF(祝日表!B31="","",祝日表!B31)</f>
        <v/>
      </c>
      <c r="DN29" s="148"/>
      <c r="DO29" s="148"/>
      <c r="DP29" s="148"/>
      <c r="DQ29" s="148"/>
      <c r="DR29" s="162"/>
      <c r="DS29" s="151"/>
      <c r="DT29" s="59">
        <f>祝日表!B16</f>
        <v>9</v>
      </c>
      <c r="DU29" s="54" t="s">
        <v>425</v>
      </c>
      <c r="DV29" s="119" t="str">
        <f>祝日表!D16</f>
        <v>第3月曜</v>
      </c>
      <c r="DW29" s="144"/>
      <c r="DX29" s="152"/>
      <c r="DY29" s="139">
        <f t="shared" si="2"/>
        <v>1</v>
      </c>
      <c r="DZ29" s="119">
        <f t="shared" si="110"/>
        <v>0</v>
      </c>
      <c r="EA29" s="51">
        <f t="shared" si="27"/>
        <v>1</v>
      </c>
      <c r="EB29" s="144"/>
      <c r="EC29" s="51">
        <f t="shared" si="28"/>
        <v>0</v>
      </c>
      <c r="ED29" s="144"/>
      <c r="EE29" s="622"/>
      <c r="EF29" s="622"/>
      <c r="EG29" s="622"/>
      <c r="EH29" s="622"/>
    </row>
    <row r="30" spans="1:138" ht="15" customHeight="1">
      <c r="A30" s="91">
        <f t="shared" si="29"/>
        <v>44423</v>
      </c>
      <c r="B30" s="132" t="str">
        <f t="shared" si="30"/>
        <v>日</v>
      </c>
      <c r="C30" s="129" t="str">
        <f t="shared" si="3"/>
        <v/>
      </c>
      <c r="D30" s="240"/>
      <c r="E30" s="239">
        <f t="shared" si="4"/>
        <v>0</v>
      </c>
      <c r="F30" s="241"/>
      <c r="G30" s="239">
        <f t="shared" si="5"/>
        <v>0</v>
      </c>
      <c r="H30" s="92">
        <f t="shared" si="31"/>
        <v>0</v>
      </c>
      <c r="I30" s="93">
        <f t="shared" si="32"/>
        <v>0</v>
      </c>
      <c r="J30" s="184">
        <f t="shared" si="6"/>
        <v>0</v>
      </c>
      <c r="K30" s="194">
        <f t="shared" si="7"/>
        <v>0</v>
      </c>
      <c r="L30" s="357">
        <f t="shared" si="8"/>
        <v>0</v>
      </c>
      <c r="M30" s="184">
        <f t="shared" si="9"/>
        <v>0</v>
      </c>
      <c r="N30" s="93">
        <f t="shared" si="1"/>
        <v>0</v>
      </c>
      <c r="O30" s="94">
        <f t="shared" si="113"/>
        <v>0</v>
      </c>
      <c r="P30" s="225"/>
      <c r="Q30" s="564"/>
      <c r="R30" s="298">
        <f t="shared" si="11"/>
        <v>0</v>
      </c>
      <c r="S30" s="138">
        <f t="shared" si="12"/>
        <v>0</v>
      </c>
      <c r="T30" s="298">
        <f t="shared" si="13"/>
        <v>0</v>
      </c>
      <c r="U30" s="298">
        <f t="shared" si="14"/>
        <v>0</v>
      </c>
      <c r="V30" s="298">
        <f t="shared" si="15"/>
        <v>0</v>
      </c>
      <c r="W30" s="138">
        <f t="shared" si="16"/>
        <v>0</v>
      </c>
      <c r="X30" s="138">
        <f t="shared" si="17"/>
        <v>0</v>
      </c>
      <c r="Y30" s="138">
        <f t="shared" si="18"/>
        <v>0</v>
      </c>
      <c r="Z30" s="138">
        <f t="shared" si="19"/>
        <v>0</v>
      </c>
      <c r="AA30" s="138">
        <f t="shared" si="20"/>
        <v>0</v>
      </c>
      <c r="AB30" s="138">
        <f t="shared" si="21"/>
        <v>0</v>
      </c>
      <c r="AC30" s="138">
        <f t="shared" si="22"/>
        <v>0</v>
      </c>
      <c r="AD30" s="138">
        <f t="shared" si="23"/>
        <v>0</v>
      </c>
      <c r="AE30" s="342"/>
      <c r="AF30" s="544"/>
      <c r="AG30" s="124">
        <f t="shared" si="33"/>
        <v>0.54166666666666663</v>
      </c>
      <c r="AH30" s="125">
        <f t="shared" si="34"/>
        <v>0.57291666666666663</v>
      </c>
      <c r="AI30" s="95" t="b">
        <f t="shared" si="35"/>
        <v>0</v>
      </c>
      <c r="AJ30" s="96" t="b">
        <f t="shared" si="36"/>
        <v>0</v>
      </c>
      <c r="AK30" s="97">
        <f t="shared" si="37"/>
        <v>3.125E-2</v>
      </c>
      <c r="AL30" s="98">
        <f t="shared" si="38"/>
        <v>3.125E-2</v>
      </c>
      <c r="AM30" s="682">
        <f t="shared" si="39"/>
        <v>0</v>
      </c>
      <c r="AN30" s="99">
        <f t="shared" si="40"/>
        <v>1</v>
      </c>
      <c r="AO30" s="100">
        <f t="shared" si="41"/>
        <v>0</v>
      </c>
      <c r="AP30" s="101" t="b">
        <f t="shared" si="42"/>
        <v>0</v>
      </c>
      <c r="AQ30" s="99">
        <f t="shared" si="43"/>
        <v>1</v>
      </c>
      <c r="AR30" s="100">
        <f t="shared" si="44"/>
        <v>0</v>
      </c>
      <c r="AS30" s="101" t="b">
        <f t="shared" si="45"/>
        <v>0</v>
      </c>
      <c r="AT30" s="102">
        <f t="shared" si="46"/>
        <v>0</v>
      </c>
      <c r="AU30" s="682">
        <f t="shared" si="47"/>
        <v>0</v>
      </c>
      <c r="AV30" s="124">
        <f t="shared" si="48"/>
        <v>0.875</v>
      </c>
      <c r="AW30" s="125">
        <f t="shared" si="49"/>
        <v>0.89583333333333337</v>
      </c>
      <c r="AX30" s="95" t="b">
        <f t="shared" si="50"/>
        <v>0</v>
      </c>
      <c r="AY30" s="96" t="b">
        <f t="shared" si="51"/>
        <v>0</v>
      </c>
      <c r="AZ30" s="97">
        <f t="shared" si="52"/>
        <v>2.083333333333337E-2</v>
      </c>
      <c r="BA30" s="98">
        <f t="shared" si="53"/>
        <v>2.083333333333337E-2</v>
      </c>
      <c r="BB30" s="682">
        <f t="shared" si="54"/>
        <v>0</v>
      </c>
      <c r="BC30" s="99">
        <f t="shared" si="55"/>
        <v>1</v>
      </c>
      <c r="BD30" s="100">
        <f t="shared" si="56"/>
        <v>0</v>
      </c>
      <c r="BE30" s="101" t="b">
        <f t="shared" si="57"/>
        <v>0</v>
      </c>
      <c r="BF30" s="99">
        <f t="shared" si="58"/>
        <v>1</v>
      </c>
      <c r="BG30" s="100">
        <f t="shared" si="59"/>
        <v>0</v>
      </c>
      <c r="BH30" s="101" t="b">
        <f t="shared" si="60"/>
        <v>0</v>
      </c>
      <c r="BI30" s="102">
        <f t="shared" si="61"/>
        <v>0</v>
      </c>
      <c r="BJ30" s="682">
        <f t="shared" si="62"/>
        <v>0</v>
      </c>
      <c r="BK30" s="124">
        <f t="shared" si="63"/>
        <v>0</v>
      </c>
      <c r="BL30" s="125">
        <f t="shared" si="64"/>
        <v>0</v>
      </c>
      <c r="BM30" s="95" t="b">
        <f t="shared" si="65"/>
        <v>0</v>
      </c>
      <c r="BN30" s="96" t="b">
        <f t="shared" si="66"/>
        <v>0</v>
      </c>
      <c r="BO30" s="97">
        <f t="shared" si="67"/>
        <v>0</v>
      </c>
      <c r="BP30" s="98">
        <f t="shared" si="68"/>
        <v>0</v>
      </c>
      <c r="BQ30" s="682">
        <f t="shared" si="69"/>
        <v>0</v>
      </c>
      <c r="BR30" s="99">
        <f t="shared" si="70"/>
        <v>1</v>
      </c>
      <c r="BS30" s="100">
        <f t="shared" si="71"/>
        <v>0</v>
      </c>
      <c r="BT30" s="101" t="b">
        <f t="shared" si="72"/>
        <v>0</v>
      </c>
      <c r="BU30" s="99">
        <f t="shared" si="73"/>
        <v>0</v>
      </c>
      <c r="BV30" s="100">
        <f t="shared" si="74"/>
        <v>1</v>
      </c>
      <c r="BW30" s="101" t="b">
        <f t="shared" si="75"/>
        <v>0</v>
      </c>
      <c r="BX30" s="102">
        <f t="shared" si="76"/>
        <v>0</v>
      </c>
      <c r="BY30" s="682">
        <f t="shared" si="77"/>
        <v>0</v>
      </c>
      <c r="BZ30" s="124">
        <f t="shared" si="78"/>
        <v>0</v>
      </c>
      <c r="CA30" s="125">
        <f t="shared" si="79"/>
        <v>0</v>
      </c>
      <c r="CB30" s="95" t="b">
        <f t="shared" si="80"/>
        <v>0</v>
      </c>
      <c r="CC30" s="96" t="b">
        <f t="shared" si="81"/>
        <v>0</v>
      </c>
      <c r="CD30" s="97">
        <f t="shared" si="82"/>
        <v>0</v>
      </c>
      <c r="CE30" s="98">
        <f t="shared" si="83"/>
        <v>0</v>
      </c>
      <c r="CF30" s="682">
        <f t="shared" si="84"/>
        <v>0</v>
      </c>
      <c r="CG30" s="99">
        <f t="shared" si="85"/>
        <v>1</v>
      </c>
      <c r="CH30" s="100">
        <f t="shared" si="86"/>
        <v>0</v>
      </c>
      <c r="CI30" s="101" t="b">
        <f t="shared" si="87"/>
        <v>0</v>
      </c>
      <c r="CJ30" s="99">
        <f t="shared" si="88"/>
        <v>0</v>
      </c>
      <c r="CK30" s="100">
        <f t="shared" si="89"/>
        <v>1</v>
      </c>
      <c r="CL30" s="101" t="b">
        <f t="shared" si="90"/>
        <v>0</v>
      </c>
      <c r="CM30" s="102">
        <f t="shared" si="91"/>
        <v>0</v>
      </c>
      <c r="CN30" s="682">
        <f t="shared" si="92"/>
        <v>0</v>
      </c>
      <c r="CO30" s="124">
        <f t="shared" si="93"/>
        <v>0</v>
      </c>
      <c r="CP30" s="125">
        <f t="shared" si="94"/>
        <v>0</v>
      </c>
      <c r="CQ30" s="103" t="b">
        <f t="shared" si="95"/>
        <v>0</v>
      </c>
      <c r="CR30" s="96" t="b">
        <f t="shared" si="96"/>
        <v>0</v>
      </c>
      <c r="CS30" s="97">
        <f t="shared" si="97"/>
        <v>0</v>
      </c>
      <c r="CT30" s="98">
        <f t="shared" si="98"/>
        <v>0</v>
      </c>
      <c r="CU30" s="682">
        <f t="shared" si="99"/>
        <v>0</v>
      </c>
      <c r="CV30" s="99">
        <f t="shared" si="100"/>
        <v>1</v>
      </c>
      <c r="CW30" s="100">
        <f t="shared" si="101"/>
        <v>0</v>
      </c>
      <c r="CX30" s="101" t="b">
        <f t="shared" si="102"/>
        <v>0</v>
      </c>
      <c r="CY30" s="99">
        <f t="shared" si="103"/>
        <v>0</v>
      </c>
      <c r="CZ30" s="100">
        <f t="shared" si="104"/>
        <v>1</v>
      </c>
      <c r="DA30" s="101" t="b">
        <f t="shared" si="105"/>
        <v>0</v>
      </c>
      <c r="DB30" s="102">
        <f t="shared" si="106"/>
        <v>0</v>
      </c>
      <c r="DC30" s="683">
        <f t="shared" si="107"/>
        <v>0</v>
      </c>
      <c r="DD30" s="123">
        <f t="shared" si="108"/>
        <v>0</v>
      </c>
      <c r="DE30" s="104">
        <f t="shared" si="109"/>
        <v>0</v>
      </c>
      <c r="DG30" s="58" t="s">
        <v>602</v>
      </c>
      <c r="DH30" s="339" t="s">
        <v>494</v>
      </c>
      <c r="DI30" s="144"/>
      <c r="DJ30" s="58" t="s">
        <v>603</v>
      </c>
      <c r="DK30" s="151" t="s">
        <v>604</v>
      </c>
      <c r="DL30" s="117" t="s">
        <v>598</v>
      </c>
      <c r="DM30" s="134" t="str">
        <f>IF(祝日表!B32="","",祝日表!B32)</f>
        <v/>
      </c>
      <c r="DN30" s="148"/>
      <c r="DO30" s="148"/>
      <c r="DP30" s="148"/>
      <c r="DQ30" s="148"/>
      <c r="DR30" s="162"/>
      <c r="DS30" s="151"/>
      <c r="DT30" s="58" t="s">
        <v>567</v>
      </c>
      <c r="DU30" s="58" t="s">
        <v>568</v>
      </c>
      <c r="DV30" s="51" t="s">
        <v>569</v>
      </c>
      <c r="DW30" s="144"/>
      <c r="DX30" s="152"/>
      <c r="DY30" s="139">
        <f t="shared" si="2"/>
        <v>1</v>
      </c>
      <c r="DZ30" s="119">
        <f t="shared" si="110"/>
        <v>0</v>
      </c>
      <c r="EA30" s="51">
        <f t="shared" si="27"/>
        <v>1</v>
      </c>
      <c r="EB30" s="144"/>
      <c r="EC30" s="51">
        <f t="shared" si="28"/>
        <v>0</v>
      </c>
      <c r="ED30" s="144"/>
      <c r="EE30" s="622"/>
      <c r="EF30" s="622"/>
      <c r="EG30" s="622"/>
      <c r="EH30" s="622"/>
    </row>
    <row r="31" spans="1:138" ht="15" customHeight="1">
      <c r="A31" s="91">
        <f t="shared" si="29"/>
        <v>44424</v>
      </c>
      <c r="B31" s="132" t="str">
        <f>CHOOSE(WEEKDAY(A31,1),"日","月","火","水","木","金","土")</f>
        <v>月</v>
      </c>
      <c r="C31" s="129" t="str">
        <f t="shared" si="3"/>
        <v/>
      </c>
      <c r="D31" s="240">
        <v>0.35416666666666669</v>
      </c>
      <c r="E31" s="239">
        <f t="shared" si="4"/>
        <v>0.35416666666666663</v>
      </c>
      <c r="F31" s="241">
        <v>0.79166666666666663</v>
      </c>
      <c r="G31" s="239">
        <f t="shared" si="5"/>
        <v>0.79166666666666663</v>
      </c>
      <c r="H31" s="92">
        <f t="shared" si="31"/>
        <v>0.4375</v>
      </c>
      <c r="I31" s="93">
        <f t="shared" si="32"/>
        <v>3.125E-2</v>
      </c>
      <c r="J31" s="184">
        <f t="shared" si="6"/>
        <v>0.40625</v>
      </c>
      <c r="K31" s="194">
        <f t="shared" si="7"/>
        <v>0</v>
      </c>
      <c r="L31" s="357">
        <f t="shared" si="8"/>
        <v>0.35416666666666663</v>
      </c>
      <c r="M31" s="184">
        <f t="shared" si="9"/>
        <v>7.2916666666666685E-2</v>
      </c>
      <c r="N31" s="93">
        <f t="shared" si="1"/>
        <v>0</v>
      </c>
      <c r="O31" s="94">
        <f t="shared" si="113"/>
        <v>7.2916666666666685E-2</v>
      </c>
      <c r="P31" s="225"/>
      <c r="Q31" s="564"/>
      <c r="R31" s="298">
        <f t="shared" si="11"/>
        <v>0</v>
      </c>
      <c r="S31" s="138">
        <f t="shared" si="12"/>
        <v>0</v>
      </c>
      <c r="T31" s="298">
        <f t="shared" si="13"/>
        <v>0</v>
      </c>
      <c r="U31" s="298">
        <f t="shared" si="14"/>
        <v>0</v>
      </c>
      <c r="V31" s="298">
        <f t="shared" si="15"/>
        <v>0</v>
      </c>
      <c r="W31" s="138">
        <f t="shared" si="16"/>
        <v>0</v>
      </c>
      <c r="X31" s="138">
        <f t="shared" si="17"/>
        <v>0</v>
      </c>
      <c r="Y31" s="138">
        <f t="shared" si="18"/>
        <v>0</v>
      </c>
      <c r="Z31" s="138">
        <f t="shared" si="19"/>
        <v>0</v>
      </c>
      <c r="AA31" s="138">
        <f t="shared" si="20"/>
        <v>0</v>
      </c>
      <c r="AB31" s="138">
        <f t="shared" si="21"/>
        <v>0</v>
      </c>
      <c r="AC31" s="138">
        <f t="shared" si="22"/>
        <v>0</v>
      </c>
      <c r="AD31" s="138">
        <f t="shared" si="23"/>
        <v>0</v>
      </c>
      <c r="AE31" s="342"/>
      <c r="AF31" s="544"/>
      <c r="AG31" s="124">
        <f t="shared" si="33"/>
        <v>0.54166666666666663</v>
      </c>
      <c r="AH31" s="125">
        <f t="shared" si="34"/>
        <v>0.57291666666666663</v>
      </c>
      <c r="AI31" s="95" t="b">
        <f t="shared" si="35"/>
        <v>0</v>
      </c>
      <c r="AJ31" s="96" t="b">
        <f t="shared" si="36"/>
        <v>0</v>
      </c>
      <c r="AK31" s="97">
        <f t="shared" si="37"/>
        <v>3.125E-2</v>
      </c>
      <c r="AL31" s="98">
        <f t="shared" si="38"/>
        <v>3.125E-2</v>
      </c>
      <c r="AM31" s="682">
        <f t="shared" si="39"/>
        <v>0</v>
      </c>
      <c r="AN31" s="99">
        <f t="shared" si="40"/>
        <v>1</v>
      </c>
      <c r="AO31" s="100">
        <f t="shared" si="41"/>
        <v>1</v>
      </c>
      <c r="AP31" s="101" t="b">
        <f t="shared" si="42"/>
        <v>1</v>
      </c>
      <c r="AQ31" s="99">
        <f t="shared" si="43"/>
        <v>1</v>
      </c>
      <c r="AR31" s="100">
        <f t="shared" si="44"/>
        <v>1</v>
      </c>
      <c r="AS31" s="101" t="b">
        <f t="shared" si="45"/>
        <v>1</v>
      </c>
      <c r="AT31" s="102">
        <f t="shared" si="46"/>
        <v>3.125E-2</v>
      </c>
      <c r="AU31" s="682">
        <f t="shared" si="47"/>
        <v>0</v>
      </c>
      <c r="AV31" s="124">
        <f t="shared" si="48"/>
        <v>0.875</v>
      </c>
      <c r="AW31" s="125">
        <f t="shared" si="49"/>
        <v>0.89583333333333337</v>
      </c>
      <c r="AX31" s="95" t="b">
        <f t="shared" si="50"/>
        <v>0</v>
      </c>
      <c r="AY31" s="96" t="b">
        <f t="shared" si="51"/>
        <v>0</v>
      </c>
      <c r="AZ31" s="97">
        <f t="shared" si="52"/>
        <v>2.083333333333337E-2</v>
      </c>
      <c r="BA31" s="98">
        <f t="shared" si="53"/>
        <v>2.083333333333337E-2</v>
      </c>
      <c r="BB31" s="682">
        <f t="shared" si="54"/>
        <v>0</v>
      </c>
      <c r="BC31" s="99">
        <f t="shared" si="55"/>
        <v>1</v>
      </c>
      <c r="BD31" s="100">
        <f t="shared" si="56"/>
        <v>0</v>
      </c>
      <c r="BE31" s="101" t="b">
        <f t="shared" si="57"/>
        <v>0</v>
      </c>
      <c r="BF31" s="99">
        <f t="shared" si="58"/>
        <v>1</v>
      </c>
      <c r="BG31" s="100">
        <f t="shared" si="59"/>
        <v>0</v>
      </c>
      <c r="BH31" s="101" t="b">
        <f t="shared" si="60"/>
        <v>0</v>
      </c>
      <c r="BI31" s="102">
        <f t="shared" si="61"/>
        <v>0</v>
      </c>
      <c r="BJ31" s="682">
        <f t="shared" si="62"/>
        <v>0</v>
      </c>
      <c r="BK31" s="124">
        <f t="shared" si="63"/>
        <v>0</v>
      </c>
      <c r="BL31" s="125">
        <f t="shared" si="64"/>
        <v>0</v>
      </c>
      <c r="BM31" s="95" t="b">
        <f t="shared" si="65"/>
        <v>0</v>
      </c>
      <c r="BN31" s="96" t="b">
        <f t="shared" si="66"/>
        <v>0</v>
      </c>
      <c r="BO31" s="97">
        <f t="shared" si="67"/>
        <v>0</v>
      </c>
      <c r="BP31" s="98">
        <f t="shared" si="68"/>
        <v>0</v>
      </c>
      <c r="BQ31" s="682">
        <f t="shared" si="69"/>
        <v>0</v>
      </c>
      <c r="BR31" s="99">
        <f t="shared" si="70"/>
        <v>0</v>
      </c>
      <c r="BS31" s="100">
        <f t="shared" si="71"/>
        <v>1</v>
      </c>
      <c r="BT31" s="101" t="b">
        <f t="shared" si="72"/>
        <v>0</v>
      </c>
      <c r="BU31" s="99">
        <f t="shared" si="73"/>
        <v>0</v>
      </c>
      <c r="BV31" s="100">
        <f t="shared" si="74"/>
        <v>1</v>
      </c>
      <c r="BW31" s="101" t="b">
        <f t="shared" si="75"/>
        <v>0</v>
      </c>
      <c r="BX31" s="102">
        <f t="shared" si="76"/>
        <v>0</v>
      </c>
      <c r="BY31" s="682">
        <f t="shared" si="77"/>
        <v>0</v>
      </c>
      <c r="BZ31" s="124">
        <f t="shared" si="78"/>
        <v>0</v>
      </c>
      <c r="CA31" s="125">
        <f t="shared" si="79"/>
        <v>0</v>
      </c>
      <c r="CB31" s="95" t="b">
        <f t="shared" si="80"/>
        <v>0</v>
      </c>
      <c r="CC31" s="96" t="b">
        <f t="shared" si="81"/>
        <v>0</v>
      </c>
      <c r="CD31" s="97">
        <f t="shared" si="82"/>
        <v>0</v>
      </c>
      <c r="CE31" s="98">
        <f t="shared" si="83"/>
        <v>0</v>
      </c>
      <c r="CF31" s="682">
        <f t="shared" si="84"/>
        <v>0</v>
      </c>
      <c r="CG31" s="99">
        <f t="shared" si="85"/>
        <v>0</v>
      </c>
      <c r="CH31" s="100">
        <f t="shared" si="86"/>
        <v>1</v>
      </c>
      <c r="CI31" s="101" t="b">
        <f t="shared" si="87"/>
        <v>0</v>
      </c>
      <c r="CJ31" s="99">
        <f t="shared" si="88"/>
        <v>0</v>
      </c>
      <c r="CK31" s="100">
        <f t="shared" si="89"/>
        <v>1</v>
      </c>
      <c r="CL31" s="101" t="b">
        <f t="shared" si="90"/>
        <v>0</v>
      </c>
      <c r="CM31" s="102">
        <f t="shared" si="91"/>
        <v>0</v>
      </c>
      <c r="CN31" s="682">
        <f t="shared" si="92"/>
        <v>0</v>
      </c>
      <c r="CO31" s="124">
        <f t="shared" si="93"/>
        <v>0</v>
      </c>
      <c r="CP31" s="125">
        <f t="shared" si="94"/>
        <v>0</v>
      </c>
      <c r="CQ31" s="103" t="b">
        <f t="shared" si="95"/>
        <v>0</v>
      </c>
      <c r="CR31" s="96" t="b">
        <f t="shared" si="96"/>
        <v>0</v>
      </c>
      <c r="CS31" s="97">
        <f t="shared" si="97"/>
        <v>0</v>
      </c>
      <c r="CT31" s="98">
        <f t="shared" si="98"/>
        <v>0</v>
      </c>
      <c r="CU31" s="682">
        <f t="shared" si="99"/>
        <v>0</v>
      </c>
      <c r="CV31" s="99">
        <f t="shared" si="100"/>
        <v>0</v>
      </c>
      <c r="CW31" s="100">
        <f t="shared" si="101"/>
        <v>1</v>
      </c>
      <c r="CX31" s="101" t="b">
        <f t="shared" si="102"/>
        <v>0</v>
      </c>
      <c r="CY31" s="99">
        <f t="shared" si="103"/>
        <v>0</v>
      </c>
      <c r="CZ31" s="100">
        <f t="shared" si="104"/>
        <v>1</v>
      </c>
      <c r="DA31" s="101" t="b">
        <f t="shared" si="105"/>
        <v>0</v>
      </c>
      <c r="DB31" s="102">
        <f t="shared" si="106"/>
        <v>0</v>
      </c>
      <c r="DC31" s="683">
        <f t="shared" si="107"/>
        <v>0</v>
      </c>
      <c r="DD31" s="123">
        <f t="shared" si="108"/>
        <v>3.125E-2</v>
      </c>
      <c r="DE31" s="104">
        <f t="shared" si="109"/>
        <v>0</v>
      </c>
      <c r="DG31" s="58" t="s">
        <v>605</v>
      </c>
      <c r="DH31" s="339" t="s">
        <v>606</v>
      </c>
      <c r="DI31" s="144"/>
      <c r="DJ31" s="58" t="s">
        <v>607</v>
      </c>
      <c r="DK31" s="151" t="s">
        <v>604</v>
      </c>
      <c r="DL31" s="144"/>
      <c r="DM31" s="149" t="str">
        <f>IF(祝日表!B33="","",祝日表!B33)</f>
        <v/>
      </c>
      <c r="DN31" s="148"/>
      <c r="DO31" s="148"/>
      <c r="DP31" s="148"/>
      <c r="DQ31" s="148"/>
      <c r="DR31" s="162"/>
      <c r="DS31" s="151"/>
      <c r="DT31" s="58">
        <v>15</v>
      </c>
      <c r="DU31" s="120">
        <f>DATE($A$1,DT$29,DT31)</f>
        <v>44454</v>
      </c>
      <c r="DV31" s="51">
        <f>WEEKDAY(DU31,1)</f>
        <v>4</v>
      </c>
      <c r="DW31" s="144"/>
      <c r="DX31" s="152"/>
      <c r="DY31" s="139">
        <f t="shared" si="2"/>
        <v>0</v>
      </c>
      <c r="DZ31" s="119">
        <f t="shared" si="110"/>
        <v>0</v>
      </c>
      <c r="EA31" s="51">
        <f t="shared" si="27"/>
        <v>0</v>
      </c>
      <c r="EB31" s="144"/>
      <c r="EC31" s="51">
        <f t="shared" si="28"/>
        <v>1</v>
      </c>
      <c r="ED31" s="144"/>
      <c r="EE31" s="622"/>
      <c r="EF31" s="622"/>
      <c r="EG31" s="622"/>
      <c r="EH31" s="622"/>
    </row>
    <row r="32" spans="1:138" ht="15" customHeight="1">
      <c r="A32" s="91">
        <f t="shared" si="29"/>
        <v>44425</v>
      </c>
      <c r="B32" s="132" t="str">
        <f t="shared" si="30"/>
        <v>火</v>
      </c>
      <c r="C32" s="129" t="str">
        <f t="shared" si="3"/>
        <v/>
      </c>
      <c r="D32" s="240">
        <v>0.35416666666666669</v>
      </c>
      <c r="E32" s="239">
        <f t="shared" si="4"/>
        <v>0.35416666666666663</v>
      </c>
      <c r="F32" s="241">
        <v>0.72916666666666663</v>
      </c>
      <c r="G32" s="239">
        <f t="shared" si="5"/>
        <v>0.72916666666666663</v>
      </c>
      <c r="H32" s="92">
        <f t="shared" si="31"/>
        <v>0.375</v>
      </c>
      <c r="I32" s="93">
        <f t="shared" si="32"/>
        <v>3.125E-2</v>
      </c>
      <c r="J32" s="184">
        <f t="shared" si="6"/>
        <v>0.34375</v>
      </c>
      <c r="K32" s="194">
        <f t="shared" si="7"/>
        <v>0</v>
      </c>
      <c r="L32" s="357">
        <f t="shared" si="8"/>
        <v>0.35416666666666663</v>
      </c>
      <c r="M32" s="184">
        <f t="shared" si="9"/>
        <v>1.0416666666666685E-2</v>
      </c>
      <c r="N32" s="93">
        <f t="shared" si="1"/>
        <v>0</v>
      </c>
      <c r="O32" s="94">
        <f t="shared" si="113"/>
        <v>1.0416666666666685E-2</v>
      </c>
      <c r="P32" s="225"/>
      <c r="Q32" s="564"/>
      <c r="R32" s="298">
        <f t="shared" si="11"/>
        <v>0</v>
      </c>
      <c r="S32" s="138">
        <f t="shared" si="12"/>
        <v>0</v>
      </c>
      <c r="T32" s="298">
        <f t="shared" si="13"/>
        <v>0</v>
      </c>
      <c r="U32" s="298">
        <f t="shared" si="14"/>
        <v>0</v>
      </c>
      <c r="V32" s="298">
        <f t="shared" si="15"/>
        <v>0</v>
      </c>
      <c r="W32" s="138">
        <f t="shared" si="16"/>
        <v>0</v>
      </c>
      <c r="X32" s="138">
        <f t="shared" si="17"/>
        <v>0</v>
      </c>
      <c r="Y32" s="138">
        <f t="shared" si="18"/>
        <v>0</v>
      </c>
      <c r="Z32" s="138">
        <f t="shared" si="19"/>
        <v>0</v>
      </c>
      <c r="AA32" s="138">
        <f t="shared" si="20"/>
        <v>0</v>
      </c>
      <c r="AB32" s="138">
        <f t="shared" si="21"/>
        <v>0</v>
      </c>
      <c r="AC32" s="138">
        <f t="shared" si="22"/>
        <v>0</v>
      </c>
      <c r="AD32" s="138">
        <f t="shared" si="23"/>
        <v>0</v>
      </c>
      <c r="AE32" s="342"/>
      <c r="AF32" s="544"/>
      <c r="AG32" s="124">
        <f t="shared" si="33"/>
        <v>0.54166666666666663</v>
      </c>
      <c r="AH32" s="125">
        <f t="shared" si="34"/>
        <v>0.57291666666666663</v>
      </c>
      <c r="AI32" s="95" t="b">
        <f t="shared" si="35"/>
        <v>0</v>
      </c>
      <c r="AJ32" s="96" t="b">
        <f t="shared" si="36"/>
        <v>0</v>
      </c>
      <c r="AK32" s="97">
        <f t="shared" si="37"/>
        <v>3.125E-2</v>
      </c>
      <c r="AL32" s="98">
        <f t="shared" si="38"/>
        <v>3.125E-2</v>
      </c>
      <c r="AM32" s="682">
        <f t="shared" si="39"/>
        <v>0</v>
      </c>
      <c r="AN32" s="99">
        <f t="shared" si="40"/>
        <v>1</v>
      </c>
      <c r="AO32" s="100">
        <f t="shared" si="41"/>
        <v>1</v>
      </c>
      <c r="AP32" s="101" t="b">
        <f t="shared" si="42"/>
        <v>1</v>
      </c>
      <c r="AQ32" s="99">
        <f t="shared" si="43"/>
        <v>1</v>
      </c>
      <c r="AR32" s="100">
        <f t="shared" si="44"/>
        <v>1</v>
      </c>
      <c r="AS32" s="101" t="b">
        <f t="shared" si="45"/>
        <v>1</v>
      </c>
      <c r="AT32" s="102">
        <f t="shared" si="46"/>
        <v>3.125E-2</v>
      </c>
      <c r="AU32" s="682">
        <f t="shared" si="47"/>
        <v>0</v>
      </c>
      <c r="AV32" s="124">
        <f t="shared" si="48"/>
        <v>0.875</v>
      </c>
      <c r="AW32" s="125">
        <f t="shared" si="49"/>
        <v>0.89583333333333337</v>
      </c>
      <c r="AX32" s="95" t="b">
        <f t="shared" si="50"/>
        <v>0</v>
      </c>
      <c r="AY32" s="96" t="b">
        <f t="shared" si="51"/>
        <v>0</v>
      </c>
      <c r="AZ32" s="97">
        <f t="shared" si="52"/>
        <v>2.083333333333337E-2</v>
      </c>
      <c r="BA32" s="98">
        <f t="shared" si="53"/>
        <v>2.083333333333337E-2</v>
      </c>
      <c r="BB32" s="682">
        <f t="shared" si="54"/>
        <v>0</v>
      </c>
      <c r="BC32" s="99">
        <f t="shared" si="55"/>
        <v>1</v>
      </c>
      <c r="BD32" s="100">
        <f t="shared" si="56"/>
        <v>0</v>
      </c>
      <c r="BE32" s="101" t="b">
        <f t="shared" si="57"/>
        <v>0</v>
      </c>
      <c r="BF32" s="99">
        <f t="shared" si="58"/>
        <v>1</v>
      </c>
      <c r="BG32" s="100">
        <f t="shared" si="59"/>
        <v>0</v>
      </c>
      <c r="BH32" s="101" t="b">
        <f t="shared" si="60"/>
        <v>0</v>
      </c>
      <c r="BI32" s="102">
        <f>IF(AND(BE32=FALSE,BH32=FALSE),0,IF(AND(BE32=TRUE,BH32=TRUE),AW32-AV32,IF(AND(BE32=FALSE,BH32=TRUE),AW32-$E32,$G32-AV32)))</f>
        <v>0</v>
      </c>
      <c r="BJ32" s="682">
        <f t="shared" si="62"/>
        <v>0</v>
      </c>
      <c r="BK32" s="124">
        <f t="shared" si="63"/>
        <v>0</v>
      </c>
      <c r="BL32" s="125">
        <f t="shared" si="64"/>
        <v>0</v>
      </c>
      <c r="BM32" s="95" t="b">
        <f t="shared" si="65"/>
        <v>0</v>
      </c>
      <c r="BN32" s="96" t="b">
        <f t="shared" si="66"/>
        <v>0</v>
      </c>
      <c r="BO32" s="97">
        <f t="shared" si="67"/>
        <v>0</v>
      </c>
      <c r="BP32" s="98">
        <f t="shared" si="68"/>
        <v>0</v>
      </c>
      <c r="BQ32" s="682">
        <f t="shared" si="69"/>
        <v>0</v>
      </c>
      <c r="BR32" s="99">
        <f t="shared" si="70"/>
        <v>0</v>
      </c>
      <c r="BS32" s="100">
        <f t="shared" si="71"/>
        <v>1</v>
      </c>
      <c r="BT32" s="101" t="b">
        <f t="shared" si="72"/>
        <v>0</v>
      </c>
      <c r="BU32" s="99">
        <f t="shared" si="73"/>
        <v>0</v>
      </c>
      <c r="BV32" s="100">
        <f t="shared" si="74"/>
        <v>1</v>
      </c>
      <c r="BW32" s="101" t="b">
        <f t="shared" si="75"/>
        <v>0</v>
      </c>
      <c r="BX32" s="102">
        <f t="shared" si="76"/>
        <v>0</v>
      </c>
      <c r="BY32" s="682">
        <f t="shared" si="77"/>
        <v>0</v>
      </c>
      <c r="BZ32" s="124">
        <f t="shared" si="78"/>
        <v>0</v>
      </c>
      <c r="CA32" s="125">
        <f t="shared" si="79"/>
        <v>0</v>
      </c>
      <c r="CB32" s="95" t="b">
        <f t="shared" si="80"/>
        <v>0</v>
      </c>
      <c r="CC32" s="96" t="b">
        <f t="shared" si="81"/>
        <v>0</v>
      </c>
      <c r="CD32" s="97">
        <f t="shared" si="82"/>
        <v>0</v>
      </c>
      <c r="CE32" s="98">
        <f t="shared" si="83"/>
        <v>0</v>
      </c>
      <c r="CF32" s="682">
        <f t="shared" si="84"/>
        <v>0</v>
      </c>
      <c r="CG32" s="99">
        <f t="shared" si="85"/>
        <v>0</v>
      </c>
      <c r="CH32" s="100">
        <f t="shared" si="86"/>
        <v>1</v>
      </c>
      <c r="CI32" s="101" t="b">
        <f t="shared" si="87"/>
        <v>0</v>
      </c>
      <c r="CJ32" s="99">
        <f t="shared" si="88"/>
        <v>0</v>
      </c>
      <c r="CK32" s="100">
        <f t="shared" si="89"/>
        <v>1</v>
      </c>
      <c r="CL32" s="101" t="b">
        <f t="shared" si="90"/>
        <v>0</v>
      </c>
      <c r="CM32" s="102">
        <f t="shared" si="91"/>
        <v>0</v>
      </c>
      <c r="CN32" s="682">
        <f t="shared" si="92"/>
        <v>0</v>
      </c>
      <c r="CO32" s="124">
        <f t="shared" si="93"/>
        <v>0</v>
      </c>
      <c r="CP32" s="125">
        <f t="shared" si="94"/>
        <v>0</v>
      </c>
      <c r="CQ32" s="103" t="b">
        <f t="shared" si="95"/>
        <v>0</v>
      </c>
      <c r="CR32" s="96" t="b">
        <f t="shared" si="96"/>
        <v>0</v>
      </c>
      <c r="CS32" s="97">
        <f t="shared" si="97"/>
        <v>0</v>
      </c>
      <c r="CT32" s="98">
        <f t="shared" si="98"/>
        <v>0</v>
      </c>
      <c r="CU32" s="682">
        <f t="shared" si="99"/>
        <v>0</v>
      </c>
      <c r="CV32" s="99">
        <f t="shared" si="100"/>
        <v>0</v>
      </c>
      <c r="CW32" s="100">
        <f t="shared" si="101"/>
        <v>1</v>
      </c>
      <c r="CX32" s="101" t="b">
        <f t="shared" si="102"/>
        <v>0</v>
      </c>
      <c r="CY32" s="99">
        <f t="shared" si="103"/>
        <v>0</v>
      </c>
      <c r="CZ32" s="100">
        <f t="shared" si="104"/>
        <v>1</v>
      </c>
      <c r="DA32" s="101" t="b">
        <f t="shared" si="105"/>
        <v>0</v>
      </c>
      <c r="DB32" s="102">
        <f t="shared" si="106"/>
        <v>0</v>
      </c>
      <c r="DC32" s="683">
        <f t="shared" si="107"/>
        <v>0</v>
      </c>
      <c r="DD32" s="123">
        <f t="shared" si="108"/>
        <v>3.125E-2</v>
      </c>
      <c r="DE32" s="104">
        <f t="shared" si="109"/>
        <v>0</v>
      </c>
      <c r="DG32" s="144"/>
      <c r="DH32" s="58" t="s">
        <v>608</v>
      </c>
      <c r="DI32" s="144"/>
      <c r="DJ32" s="58" t="s">
        <v>609</v>
      </c>
      <c r="DK32" s="151" t="s">
        <v>604</v>
      </c>
      <c r="DL32" s="117" t="s">
        <v>545</v>
      </c>
      <c r="DM32" s="134">
        <f>IF(祝日表!B34="","",祝日表!B34)</f>
        <v>44399</v>
      </c>
      <c r="DN32" s="148"/>
      <c r="DO32" s="148"/>
      <c r="DP32" s="148"/>
      <c r="DQ32" s="148"/>
      <c r="DR32" s="162"/>
      <c r="DS32" s="151"/>
      <c r="DT32" s="58">
        <v>16</v>
      </c>
      <c r="DU32" s="120">
        <f t="shared" ref="DU32:DU37" si="114">DATE($A$1,DT$29,DT32)</f>
        <v>44455</v>
      </c>
      <c r="DV32" s="51">
        <f t="shared" ref="DV32:DV37" si="115">WEEKDAY(DU32,1)</f>
        <v>5</v>
      </c>
      <c r="DW32" s="144"/>
      <c r="DX32" s="152"/>
      <c r="DY32" s="139">
        <f t="shared" si="2"/>
        <v>0</v>
      </c>
      <c r="DZ32" s="119">
        <f t="shared" si="110"/>
        <v>0</v>
      </c>
      <c r="EA32" s="51">
        <f t="shared" si="27"/>
        <v>0</v>
      </c>
      <c r="EB32" s="144"/>
      <c r="EC32" s="51">
        <f t="shared" si="28"/>
        <v>1</v>
      </c>
      <c r="ED32" s="144"/>
      <c r="EE32" s="622"/>
      <c r="EF32" s="622"/>
      <c r="EG32" s="622"/>
      <c r="EH32" s="622"/>
    </row>
    <row r="33" spans="1:138" ht="15" customHeight="1">
      <c r="A33" s="91">
        <f>IF(DAY(A32)=20,"",A32+1)</f>
        <v>44426</v>
      </c>
      <c r="B33" s="132" t="str">
        <f>IF(A33="","",CHOOSE(WEEKDAY(A33,1),"日","月","火","水","木","金","土"))</f>
        <v>水</v>
      </c>
      <c r="C33" s="129" t="str">
        <f t="shared" si="3"/>
        <v/>
      </c>
      <c r="D33" s="240">
        <v>0.35416666666666669</v>
      </c>
      <c r="E33" s="239">
        <f t="shared" si="4"/>
        <v>0.35416666666666663</v>
      </c>
      <c r="F33" s="241">
        <v>0.71875</v>
      </c>
      <c r="G33" s="239">
        <f t="shared" si="5"/>
        <v>0.71875</v>
      </c>
      <c r="H33" s="92">
        <f t="shared" si="31"/>
        <v>0.36458333333333337</v>
      </c>
      <c r="I33" s="93">
        <f t="shared" si="32"/>
        <v>3.125E-2</v>
      </c>
      <c r="J33" s="184">
        <f t="shared" si="6"/>
        <v>0.33333333333333331</v>
      </c>
      <c r="K33" s="194">
        <f t="shared" si="7"/>
        <v>0</v>
      </c>
      <c r="L33" s="357">
        <f t="shared" si="8"/>
        <v>0.35416666666666663</v>
      </c>
      <c r="M33" s="184">
        <f t="shared" si="9"/>
        <v>0</v>
      </c>
      <c r="N33" s="93">
        <f t="shared" si="1"/>
        <v>0</v>
      </c>
      <c r="O33" s="94">
        <f t="shared" si="113"/>
        <v>0</v>
      </c>
      <c r="P33" s="225"/>
      <c r="Q33" s="346"/>
      <c r="R33" s="298">
        <f t="shared" si="11"/>
        <v>0</v>
      </c>
      <c r="S33" s="138">
        <f t="shared" si="12"/>
        <v>0</v>
      </c>
      <c r="T33" s="298">
        <f t="shared" si="13"/>
        <v>0</v>
      </c>
      <c r="U33" s="298">
        <f t="shared" si="14"/>
        <v>0</v>
      </c>
      <c r="V33" s="298">
        <f t="shared" si="15"/>
        <v>0</v>
      </c>
      <c r="W33" s="138">
        <f t="shared" si="16"/>
        <v>0</v>
      </c>
      <c r="X33" s="138">
        <f t="shared" si="17"/>
        <v>0</v>
      </c>
      <c r="Y33" s="138">
        <f t="shared" si="18"/>
        <v>0</v>
      </c>
      <c r="Z33" s="138">
        <f t="shared" si="19"/>
        <v>0</v>
      </c>
      <c r="AA33" s="138">
        <f t="shared" si="20"/>
        <v>0</v>
      </c>
      <c r="AB33" s="138">
        <f t="shared" si="21"/>
        <v>0</v>
      </c>
      <c r="AC33" s="138">
        <f t="shared" si="22"/>
        <v>0</v>
      </c>
      <c r="AD33" s="138">
        <f t="shared" si="23"/>
        <v>0</v>
      </c>
      <c r="AE33" s="342"/>
      <c r="AF33" s="544"/>
      <c r="AG33" s="124">
        <f t="shared" si="33"/>
        <v>0.54166666666666663</v>
      </c>
      <c r="AH33" s="125">
        <f t="shared" si="34"/>
        <v>0.57291666666666663</v>
      </c>
      <c r="AI33" s="95" t="b">
        <f t="shared" si="35"/>
        <v>0</v>
      </c>
      <c r="AJ33" s="96" t="b">
        <f t="shared" si="36"/>
        <v>0</v>
      </c>
      <c r="AK33" s="97">
        <f t="shared" si="37"/>
        <v>3.125E-2</v>
      </c>
      <c r="AL33" s="98">
        <f t="shared" si="38"/>
        <v>3.125E-2</v>
      </c>
      <c r="AM33" s="682">
        <f t="shared" si="39"/>
        <v>0</v>
      </c>
      <c r="AN33" s="99">
        <f t="shared" si="40"/>
        <v>1</v>
      </c>
      <c r="AO33" s="100">
        <f t="shared" si="41"/>
        <v>1</v>
      </c>
      <c r="AP33" s="101" t="b">
        <f t="shared" si="42"/>
        <v>1</v>
      </c>
      <c r="AQ33" s="99">
        <f t="shared" si="43"/>
        <v>1</v>
      </c>
      <c r="AR33" s="100">
        <f t="shared" si="44"/>
        <v>1</v>
      </c>
      <c r="AS33" s="101" t="b">
        <f t="shared" si="45"/>
        <v>1</v>
      </c>
      <c r="AT33" s="102">
        <f t="shared" si="46"/>
        <v>3.125E-2</v>
      </c>
      <c r="AU33" s="682">
        <f t="shared" si="47"/>
        <v>0</v>
      </c>
      <c r="AV33" s="124">
        <f t="shared" si="48"/>
        <v>0.875</v>
      </c>
      <c r="AW33" s="125">
        <f t="shared" si="49"/>
        <v>0.89583333333333337</v>
      </c>
      <c r="AX33" s="95" t="b">
        <f t="shared" si="50"/>
        <v>0</v>
      </c>
      <c r="AY33" s="96" t="b">
        <f t="shared" si="51"/>
        <v>0</v>
      </c>
      <c r="AZ33" s="97">
        <f t="shared" si="52"/>
        <v>2.083333333333337E-2</v>
      </c>
      <c r="BA33" s="98">
        <f t="shared" si="53"/>
        <v>2.083333333333337E-2</v>
      </c>
      <c r="BB33" s="682">
        <f t="shared" si="54"/>
        <v>0</v>
      </c>
      <c r="BC33" s="99">
        <f t="shared" si="55"/>
        <v>1</v>
      </c>
      <c r="BD33" s="100">
        <f t="shared" si="56"/>
        <v>0</v>
      </c>
      <c r="BE33" s="101" t="b">
        <f t="shared" si="57"/>
        <v>0</v>
      </c>
      <c r="BF33" s="99">
        <f t="shared" si="58"/>
        <v>1</v>
      </c>
      <c r="BG33" s="100">
        <f t="shared" si="59"/>
        <v>0</v>
      </c>
      <c r="BH33" s="101" t="b">
        <f t="shared" si="60"/>
        <v>0</v>
      </c>
      <c r="BI33" s="102">
        <f t="shared" si="61"/>
        <v>0</v>
      </c>
      <c r="BJ33" s="682">
        <f t="shared" si="62"/>
        <v>0</v>
      </c>
      <c r="BK33" s="124">
        <f t="shared" si="63"/>
        <v>0</v>
      </c>
      <c r="BL33" s="125">
        <f t="shared" si="64"/>
        <v>0</v>
      </c>
      <c r="BM33" s="95" t="b">
        <f t="shared" si="65"/>
        <v>0</v>
      </c>
      <c r="BN33" s="96" t="b">
        <f t="shared" si="66"/>
        <v>0</v>
      </c>
      <c r="BO33" s="97">
        <f t="shared" si="67"/>
        <v>0</v>
      </c>
      <c r="BP33" s="98">
        <f t="shared" si="68"/>
        <v>0</v>
      </c>
      <c r="BQ33" s="682">
        <f t="shared" si="69"/>
        <v>0</v>
      </c>
      <c r="BR33" s="99">
        <f t="shared" si="70"/>
        <v>0</v>
      </c>
      <c r="BS33" s="100">
        <f t="shared" si="71"/>
        <v>1</v>
      </c>
      <c r="BT33" s="101" t="b">
        <f t="shared" si="72"/>
        <v>0</v>
      </c>
      <c r="BU33" s="99">
        <f t="shared" si="73"/>
        <v>0</v>
      </c>
      <c r="BV33" s="100">
        <f t="shared" si="74"/>
        <v>1</v>
      </c>
      <c r="BW33" s="101" t="b">
        <f t="shared" si="75"/>
        <v>0</v>
      </c>
      <c r="BX33" s="102">
        <f t="shared" si="76"/>
        <v>0</v>
      </c>
      <c r="BY33" s="682">
        <f t="shared" si="77"/>
        <v>0</v>
      </c>
      <c r="BZ33" s="124">
        <f t="shared" si="78"/>
        <v>0</v>
      </c>
      <c r="CA33" s="125">
        <f t="shared" si="79"/>
        <v>0</v>
      </c>
      <c r="CB33" s="95" t="b">
        <f t="shared" si="80"/>
        <v>0</v>
      </c>
      <c r="CC33" s="96" t="b">
        <f t="shared" si="81"/>
        <v>0</v>
      </c>
      <c r="CD33" s="97">
        <f t="shared" si="82"/>
        <v>0</v>
      </c>
      <c r="CE33" s="98">
        <f t="shared" si="83"/>
        <v>0</v>
      </c>
      <c r="CF33" s="682">
        <f t="shared" si="84"/>
        <v>0</v>
      </c>
      <c r="CG33" s="99">
        <f t="shared" si="85"/>
        <v>0</v>
      </c>
      <c r="CH33" s="100">
        <f t="shared" si="86"/>
        <v>1</v>
      </c>
      <c r="CI33" s="101" t="b">
        <f t="shared" si="87"/>
        <v>0</v>
      </c>
      <c r="CJ33" s="99">
        <f t="shared" si="88"/>
        <v>0</v>
      </c>
      <c r="CK33" s="100">
        <f t="shared" si="89"/>
        <v>1</v>
      </c>
      <c r="CL33" s="101" t="b">
        <f t="shared" si="90"/>
        <v>0</v>
      </c>
      <c r="CM33" s="102">
        <f t="shared" si="91"/>
        <v>0</v>
      </c>
      <c r="CN33" s="682">
        <f t="shared" si="92"/>
        <v>0</v>
      </c>
      <c r="CO33" s="124">
        <f t="shared" si="93"/>
        <v>0</v>
      </c>
      <c r="CP33" s="125">
        <f t="shared" si="94"/>
        <v>0</v>
      </c>
      <c r="CQ33" s="103" t="b">
        <f t="shared" si="95"/>
        <v>0</v>
      </c>
      <c r="CR33" s="96" t="b">
        <f t="shared" si="96"/>
        <v>0</v>
      </c>
      <c r="CS33" s="97">
        <f t="shared" si="97"/>
        <v>0</v>
      </c>
      <c r="CT33" s="98">
        <f t="shared" si="98"/>
        <v>0</v>
      </c>
      <c r="CU33" s="682">
        <f t="shared" si="99"/>
        <v>0</v>
      </c>
      <c r="CV33" s="99">
        <f t="shared" si="100"/>
        <v>0</v>
      </c>
      <c r="CW33" s="100">
        <f t="shared" si="101"/>
        <v>1</v>
      </c>
      <c r="CX33" s="101" t="b">
        <f t="shared" si="102"/>
        <v>0</v>
      </c>
      <c r="CY33" s="99">
        <f t="shared" si="103"/>
        <v>0</v>
      </c>
      <c r="CZ33" s="100">
        <f t="shared" si="104"/>
        <v>1</v>
      </c>
      <c r="DA33" s="101" t="b">
        <f t="shared" si="105"/>
        <v>0</v>
      </c>
      <c r="DB33" s="102">
        <f t="shared" si="106"/>
        <v>0</v>
      </c>
      <c r="DC33" s="683">
        <f t="shared" si="107"/>
        <v>0</v>
      </c>
      <c r="DD33" s="123">
        <f t="shared" si="108"/>
        <v>3.125E-2</v>
      </c>
      <c r="DE33" s="104">
        <f t="shared" si="109"/>
        <v>0</v>
      </c>
      <c r="DG33" s="144"/>
      <c r="DH33" s="58" t="s">
        <v>610</v>
      </c>
      <c r="DI33" s="144"/>
      <c r="DJ33" s="58" t="s">
        <v>611</v>
      </c>
      <c r="DK33" s="151" t="s">
        <v>604</v>
      </c>
      <c r="DL33" s="117" t="s">
        <v>545</v>
      </c>
      <c r="DM33" s="134">
        <f>IF(祝日表!B35="","",祝日表!B35)</f>
        <v>44400</v>
      </c>
      <c r="DN33" s="148"/>
      <c r="DO33" s="148"/>
      <c r="DP33" s="148"/>
      <c r="DQ33" s="148"/>
      <c r="DR33" s="162"/>
      <c r="DS33" s="151"/>
      <c r="DT33" s="58">
        <v>17</v>
      </c>
      <c r="DU33" s="120">
        <f t="shared" si="114"/>
        <v>44456</v>
      </c>
      <c r="DV33" s="51">
        <f t="shared" si="115"/>
        <v>6</v>
      </c>
      <c r="DW33" s="144"/>
      <c r="DX33" s="152"/>
      <c r="DY33" s="139">
        <f t="shared" si="2"/>
        <v>0</v>
      </c>
      <c r="DZ33" s="119">
        <f t="shared" si="110"/>
        <v>0</v>
      </c>
      <c r="EA33" s="51">
        <f t="shared" si="27"/>
        <v>0</v>
      </c>
      <c r="EB33" s="144"/>
      <c r="EC33" s="51">
        <f t="shared" si="28"/>
        <v>1</v>
      </c>
      <c r="ED33" s="144"/>
      <c r="EE33" s="622"/>
      <c r="EF33" s="622"/>
      <c r="EG33" s="622"/>
      <c r="EH33" s="622"/>
    </row>
    <row r="34" spans="1:138" ht="15" customHeight="1">
      <c r="A34" s="91">
        <f>IF(A33="","",IF(DAY(A33)=20,"",A33+1))</f>
        <v>44427</v>
      </c>
      <c r="B34" s="132" t="str">
        <f>IF(A34="","",CHOOSE(WEEKDAY(A34,1),"日","月","火","水","木","金","土"))</f>
        <v>木</v>
      </c>
      <c r="C34" s="129" t="str">
        <f t="shared" si="3"/>
        <v/>
      </c>
      <c r="D34" s="240">
        <v>0.35416666666666669</v>
      </c>
      <c r="E34" s="239">
        <f t="shared" si="4"/>
        <v>0.35416666666666663</v>
      </c>
      <c r="F34" s="241">
        <v>0.71875</v>
      </c>
      <c r="G34" s="239">
        <f t="shared" si="5"/>
        <v>0.71875</v>
      </c>
      <c r="H34" s="92">
        <f t="shared" si="31"/>
        <v>0.36458333333333337</v>
      </c>
      <c r="I34" s="93">
        <f t="shared" si="32"/>
        <v>3.125E-2</v>
      </c>
      <c r="J34" s="184">
        <f t="shared" si="6"/>
        <v>0.33333333333333331</v>
      </c>
      <c r="K34" s="194">
        <f t="shared" si="7"/>
        <v>0</v>
      </c>
      <c r="L34" s="357">
        <f t="shared" si="8"/>
        <v>0.35416666666666663</v>
      </c>
      <c r="M34" s="184">
        <f t="shared" si="9"/>
        <v>0</v>
      </c>
      <c r="N34" s="93">
        <f t="shared" si="1"/>
        <v>0</v>
      </c>
      <c r="O34" s="94">
        <f t="shared" si="113"/>
        <v>0</v>
      </c>
      <c r="P34" s="225"/>
      <c r="Q34" s="346"/>
      <c r="R34" s="298">
        <f t="shared" si="11"/>
        <v>0</v>
      </c>
      <c r="S34" s="138">
        <f t="shared" si="12"/>
        <v>0</v>
      </c>
      <c r="T34" s="298">
        <f t="shared" si="13"/>
        <v>0</v>
      </c>
      <c r="U34" s="298">
        <f t="shared" si="14"/>
        <v>0</v>
      </c>
      <c r="V34" s="298">
        <f t="shared" si="15"/>
        <v>0</v>
      </c>
      <c r="W34" s="138">
        <f t="shared" si="16"/>
        <v>0</v>
      </c>
      <c r="X34" s="138">
        <f t="shared" si="17"/>
        <v>0</v>
      </c>
      <c r="Y34" s="138">
        <f t="shared" si="18"/>
        <v>0</v>
      </c>
      <c r="Z34" s="138">
        <f t="shared" si="19"/>
        <v>0</v>
      </c>
      <c r="AA34" s="138">
        <f t="shared" si="20"/>
        <v>0</v>
      </c>
      <c r="AB34" s="138">
        <f t="shared" si="21"/>
        <v>0</v>
      </c>
      <c r="AC34" s="138">
        <f t="shared" si="22"/>
        <v>0</v>
      </c>
      <c r="AD34" s="138">
        <f t="shared" si="23"/>
        <v>0</v>
      </c>
      <c r="AE34" s="342"/>
      <c r="AF34" s="544"/>
      <c r="AG34" s="124">
        <f t="shared" si="33"/>
        <v>0.54166666666666663</v>
      </c>
      <c r="AH34" s="125">
        <f t="shared" si="34"/>
        <v>0.57291666666666663</v>
      </c>
      <c r="AI34" s="95" t="b">
        <f t="shared" si="35"/>
        <v>0</v>
      </c>
      <c r="AJ34" s="96" t="b">
        <f t="shared" si="36"/>
        <v>0</v>
      </c>
      <c r="AK34" s="97">
        <f t="shared" si="37"/>
        <v>3.125E-2</v>
      </c>
      <c r="AL34" s="98">
        <f t="shared" si="38"/>
        <v>3.125E-2</v>
      </c>
      <c r="AM34" s="682">
        <f t="shared" si="39"/>
        <v>0</v>
      </c>
      <c r="AN34" s="99">
        <f t="shared" si="40"/>
        <v>1</v>
      </c>
      <c r="AO34" s="100">
        <f t="shared" si="41"/>
        <v>1</v>
      </c>
      <c r="AP34" s="101" t="b">
        <f t="shared" si="42"/>
        <v>1</v>
      </c>
      <c r="AQ34" s="99">
        <f t="shared" si="43"/>
        <v>1</v>
      </c>
      <c r="AR34" s="100">
        <f t="shared" si="44"/>
        <v>1</v>
      </c>
      <c r="AS34" s="101" t="b">
        <f t="shared" si="45"/>
        <v>1</v>
      </c>
      <c r="AT34" s="102">
        <f t="shared" si="46"/>
        <v>3.125E-2</v>
      </c>
      <c r="AU34" s="682">
        <f t="shared" si="47"/>
        <v>0</v>
      </c>
      <c r="AV34" s="124">
        <f t="shared" si="48"/>
        <v>0.875</v>
      </c>
      <c r="AW34" s="125">
        <f t="shared" si="49"/>
        <v>0.89583333333333337</v>
      </c>
      <c r="AX34" s="95" t="b">
        <f t="shared" si="50"/>
        <v>0</v>
      </c>
      <c r="AY34" s="96" t="b">
        <f t="shared" si="51"/>
        <v>0</v>
      </c>
      <c r="AZ34" s="97">
        <f t="shared" si="52"/>
        <v>2.083333333333337E-2</v>
      </c>
      <c r="BA34" s="98">
        <f t="shared" si="53"/>
        <v>2.083333333333337E-2</v>
      </c>
      <c r="BB34" s="682">
        <f t="shared" si="54"/>
        <v>0</v>
      </c>
      <c r="BC34" s="99">
        <f t="shared" si="55"/>
        <v>1</v>
      </c>
      <c r="BD34" s="100">
        <f t="shared" si="56"/>
        <v>0</v>
      </c>
      <c r="BE34" s="101" t="b">
        <f t="shared" si="57"/>
        <v>0</v>
      </c>
      <c r="BF34" s="99">
        <f t="shared" si="58"/>
        <v>1</v>
      </c>
      <c r="BG34" s="100">
        <f t="shared" si="59"/>
        <v>0</v>
      </c>
      <c r="BH34" s="101" t="b">
        <f t="shared" si="60"/>
        <v>0</v>
      </c>
      <c r="BI34" s="102">
        <f t="shared" si="61"/>
        <v>0</v>
      </c>
      <c r="BJ34" s="682">
        <f t="shared" si="62"/>
        <v>0</v>
      </c>
      <c r="BK34" s="124">
        <f t="shared" si="63"/>
        <v>0</v>
      </c>
      <c r="BL34" s="125">
        <f t="shared" si="64"/>
        <v>0</v>
      </c>
      <c r="BM34" s="95" t="b">
        <f t="shared" si="65"/>
        <v>0</v>
      </c>
      <c r="BN34" s="96" t="b">
        <f t="shared" si="66"/>
        <v>0</v>
      </c>
      <c r="BO34" s="97">
        <f t="shared" si="67"/>
        <v>0</v>
      </c>
      <c r="BP34" s="98">
        <f t="shared" si="68"/>
        <v>0</v>
      </c>
      <c r="BQ34" s="682">
        <f t="shared" si="69"/>
        <v>0</v>
      </c>
      <c r="BR34" s="99">
        <f t="shared" si="70"/>
        <v>0</v>
      </c>
      <c r="BS34" s="100">
        <f t="shared" si="71"/>
        <v>1</v>
      </c>
      <c r="BT34" s="101" t="b">
        <f t="shared" si="72"/>
        <v>0</v>
      </c>
      <c r="BU34" s="99">
        <f t="shared" si="73"/>
        <v>0</v>
      </c>
      <c r="BV34" s="100">
        <f t="shared" si="74"/>
        <v>1</v>
      </c>
      <c r="BW34" s="101" t="b">
        <f t="shared" si="75"/>
        <v>0</v>
      </c>
      <c r="BX34" s="102">
        <f t="shared" si="76"/>
        <v>0</v>
      </c>
      <c r="BY34" s="682">
        <f t="shared" si="77"/>
        <v>0</v>
      </c>
      <c r="BZ34" s="124">
        <f t="shared" si="78"/>
        <v>0</v>
      </c>
      <c r="CA34" s="125">
        <f t="shared" si="79"/>
        <v>0</v>
      </c>
      <c r="CB34" s="95" t="b">
        <f t="shared" si="80"/>
        <v>0</v>
      </c>
      <c r="CC34" s="96" t="b">
        <f t="shared" si="81"/>
        <v>0</v>
      </c>
      <c r="CD34" s="97">
        <f t="shared" si="82"/>
        <v>0</v>
      </c>
      <c r="CE34" s="98">
        <f t="shared" si="83"/>
        <v>0</v>
      </c>
      <c r="CF34" s="682">
        <f t="shared" si="84"/>
        <v>0</v>
      </c>
      <c r="CG34" s="99">
        <f t="shared" si="85"/>
        <v>0</v>
      </c>
      <c r="CH34" s="100">
        <f t="shared" si="86"/>
        <v>1</v>
      </c>
      <c r="CI34" s="101" t="b">
        <f t="shared" si="87"/>
        <v>0</v>
      </c>
      <c r="CJ34" s="99">
        <f t="shared" si="88"/>
        <v>0</v>
      </c>
      <c r="CK34" s="100">
        <f t="shared" si="89"/>
        <v>1</v>
      </c>
      <c r="CL34" s="101" t="b">
        <f t="shared" si="90"/>
        <v>0</v>
      </c>
      <c r="CM34" s="102">
        <f t="shared" si="91"/>
        <v>0</v>
      </c>
      <c r="CN34" s="682">
        <f t="shared" si="92"/>
        <v>0</v>
      </c>
      <c r="CO34" s="124">
        <f t="shared" si="93"/>
        <v>0</v>
      </c>
      <c r="CP34" s="125">
        <f t="shared" si="94"/>
        <v>0</v>
      </c>
      <c r="CQ34" s="103" t="b">
        <f t="shared" si="95"/>
        <v>0</v>
      </c>
      <c r="CR34" s="96" t="b">
        <f t="shared" si="96"/>
        <v>0</v>
      </c>
      <c r="CS34" s="97">
        <f t="shared" si="97"/>
        <v>0</v>
      </c>
      <c r="CT34" s="98">
        <f t="shared" si="98"/>
        <v>0</v>
      </c>
      <c r="CU34" s="682">
        <f t="shared" si="99"/>
        <v>0</v>
      </c>
      <c r="CV34" s="99">
        <f t="shared" si="100"/>
        <v>0</v>
      </c>
      <c r="CW34" s="100">
        <f t="shared" si="101"/>
        <v>1</v>
      </c>
      <c r="CX34" s="101" t="b">
        <f t="shared" si="102"/>
        <v>0</v>
      </c>
      <c r="CY34" s="99">
        <f t="shared" si="103"/>
        <v>0</v>
      </c>
      <c r="CZ34" s="100">
        <f t="shared" si="104"/>
        <v>1</v>
      </c>
      <c r="DA34" s="101" t="b">
        <f t="shared" si="105"/>
        <v>0</v>
      </c>
      <c r="DB34" s="102">
        <f t="shared" si="106"/>
        <v>0</v>
      </c>
      <c r="DC34" s="683">
        <f t="shared" si="107"/>
        <v>0</v>
      </c>
      <c r="DD34" s="123">
        <f t="shared" si="108"/>
        <v>3.125E-2</v>
      </c>
      <c r="DE34" s="104">
        <f t="shared" si="109"/>
        <v>0</v>
      </c>
      <c r="DG34" s="144"/>
      <c r="DH34" s="58" t="s">
        <v>612</v>
      </c>
      <c r="DI34" s="151" t="s">
        <v>613</v>
      </c>
      <c r="DJ34" s="58" t="s">
        <v>614</v>
      </c>
      <c r="DK34" s="151" t="s">
        <v>604</v>
      </c>
      <c r="DL34" s="133" t="s">
        <v>545</v>
      </c>
      <c r="DM34" s="134">
        <f>IF(祝日表!B36="","",祝日表!B36)</f>
        <v>44417</v>
      </c>
      <c r="DN34" s="148"/>
      <c r="DO34" s="148"/>
      <c r="DP34" s="148"/>
      <c r="DQ34" s="148"/>
      <c r="DR34" s="162"/>
      <c r="DS34" s="151"/>
      <c r="DT34" s="58">
        <v>18</v>
      </c>
      <c r="DU34" s="120">
        <f t="shared" si="114"/>
        <v>44457</v>
      </c>
      <c r="DV34" s="51">
        <f t="shared" si="115"/>
        <v>7</v>
      </c>
      <c r="DW34" s="144"/>
      <c r="DX34" s="152"/>
      <c r="DY34" s="139">
        <f t="shared" si="2"/>
        <v>0</v>
      </c>
      <c r="DZ34" s="119">
        <f t="shared" si="110"/>
        <v>0</v>
      </c>
      <c r="EA34" s="51">
        <f t="shared" si="27"/>
        <v>0</v>
      </c>
      <c r="EB34" s="144"/>
      <c r="EC34" s="51">
        <f t="shared" si="28"/>
        <v>1</v>
      </c>
      <c r="ED34" s="144"/>
      <c r="EE34" s="622"/>
      <c r="EF34" s="622"/>
      <c r="EG34" s="622"/>
      <c r="EH34" s="622"/>
    </row>
    <row r="35" spans="1:138" ht="15" customHeight="1">
      <c r="A35" s="91">
        <f>IF(A34="","",IF(DAY(A34)=20,"",A34+1))</f>
        <v>44428</v>
      </c>
      <c r="B35" s="132" t="str">
        <f>IF(A35="","",CHOOSE(WEEKDAY(A35,1),"日","月","火","水","木","金","土"))</f>
        <v>金</v>
      </c>
      <c r="C35" s="129" t="str">
        <f t="shared" si="3"/>
        <v/>
      </c>
      <c r="D35" s="240">
        <v>0.35416666666666669</v>
      </c>
      <c r="E35" s="239">
        <f t="shared" si="4"/>
        <v>0.35416666666666663</v>
      </c>
      <c r="F35" s="241">
        <v>0.72916666666666663</v>
      </c>
      <c r="G35" s="239">
        <f t="shared" si="5"/>
        <v>0.72916666666666663</v>
      </c>
      <c r="H35" s="92">
        <f t="shared" si="31"/>
        <v>0.375</v>
      </c>
      <c r="I35" s="93">
        <f t="shared" si="32"/>
        <v>3.125E-2</v>
      </c>
      <c r="J35" s="184">
        <f t="shared" si="6"/>
        <v>0.34375</v>
      </c>
      <c r="K35" s="194">
        <f t="shared" si="7"/>
        <v>0</v>
      </c>
      <c r="L35" s="357">
        <f t="shared" si="8"/>
        <v>0.35416666666666663</v>
      </c>
      <c r="M35" s="184">
        <f t="shared" si="9"/>
        <v>1.0416666666666685E-2</v>
      </c>
      <c r="N35" s="93">
        <f t="shared" si="1"/>
        <v>0</v>
      </c>
      <c r="O35" s="94">
        <f t="shared" si="113"/>
        <v>1.0416666666666685E-2</v>
      </c>
      <c r="P35" s="225"/>
      <c r="Q35" s="564"/>
      <c r="R35" s="298">
        <f t="shared" si="11"/>
        <v>0</v>
      </c>
      <c r="S35" s="138">
        <f t="shared" si="12"/>
        <v>0</v>
      </c>
      <c r="T35" s="298">
        <f t="shared" si="13"/>
        <v>0</v>
      </c>
      <c r="U35" s="298">
        <f t="shared" si="14"/>
        <v>0</v>
      </c>
      <c r="V35" s="298">
        <f t="shared" si="15"/>
        <v>0</v>
      </c>
      <c r="W35" s="138">
        <f t="shared" si="16"/>
        <v>0</v>
      </c>
      <c r="X35" s="138">
        <f t="shared" si="17"/>
        <v>0</v>
      </c>
      <c r="Y35" s="138">
        <f t="shared" si="18"/>
        <v>0</v>
      </c>
      <c r="Z35" s="138">
        <f t="shared" si="19"/>
        <v>0</v>
      </c>
      <c r="AA35" s="138">
        <f t="shared" si="20"/>
        <v>0</v>
      </c>
      <c r="AB35" s="138">
        <f t="shared" si="21"/>
        <v>0</v>
      </c>
      <c r="AC35" s="138">
        <f t="shared" si="22"/>
        <v>0</v>
      </c>
      <c r="AD35" s="138">
        <f t="shared" si="23"/>
        <v>0</v>
      </c>
      <c r="AE35" s="342"/>
      <c r="AF35" s="544"/>
      <c r="AG35" s="124">
        <f t="shared" si="33"/>
        <v>0.54166666666666663</v>
      </c>
      <c r="AH35" s="125">
        <f t="shared" si="34"/>
        <v>0.57291666666666663</v>
      </c>
      <c r="AI35" s="95" t="b">
        <f t="shared" si="35"/>
        <v>0</v>
      </c>
      <c r="AJ35" s="96" t="b">
        <f t="shared" si="36"/>
        <v>0</v>
      </c>
      <c r="AK35" s="97">
        <f t="shared" si="37"/>
        <v>3.125E-2</v>
      </c>
      <c r="AL35" s="98">
        <f t="shared" si="38"/>
        <v>3.125E-2</v>
      </c>
      <c r="AM35" s="682">
        <f t="shared" si="39"/>
        <v>0</v>
      </c>
      <c r="AN35" s="99">
        <f t="shared" si="40"/>
        <v>1</v>
      </c>
      <c r="AO35" s="100">
        <f t="shared" si="41"/>
        <v>1</v>
      </c>
      <c r="AP35" s="101" t="b">
        <f t="shared" si="42"/>
        <v>1</v>
      </c>
      <c r="AQ35" s="99">
        <f t="shared" si="43"/>
        <v>1</v>
      </c>
      <c r="AR35" s="100">
        <f t="shared" si="44"/>
        <v>1</v>
      </c>
      <c r="AS35" s="101" t="b">
        <f t="shared" si="45"/>
        <v>1</v>
      </c>
      <c r="AT35" s="102">
        <f t="shared" si="46"/>
        <v>3.125E-2</v>
      </c>
      <c r="AU35" s="682">
        <f t="shared" si="47"/>
        <v>0</v>
      </c>
      <c r="AV35" s="124">
        <f t="shared" si="48"/>
        <v>0.875</v>
      </c>
      <c r="AW35" s="125">
        <f t="shared" si="49"/>
        <v>0.89583333333333337</v>
      </c>
      <c r="AX35" s="95" t="b">
        <f t="shared" si="50"/>
        <v>0</v>
      </c>
      <c r="AY35" s="96" t="b">
        <f t="shared" si="51"/>
        <v>0</v>
      </c>
      <c r="AZ35" s="97">
        <f t="shared" si="52"/>
        <v>2.083333333333337E-2</v>
      </c>
      <c r="BA35" s="98">
        <f t="shared" si="53"/>
        <v>2.083333333333337E-2</v>
      </c>
      <c r="BB35" s="682">
        <f t="shared" si="54"/>
        <v>0</v>
      </c>
      <c r="BC35" s="99">
        <f t="shared" si="55"/>
        <v>1</v>
      </c>
      <c r="BD35" s="100">
        <f t="shared" si="56"/>
        <v>0</v>
      </c>
      <c r="BE35" s="101" t="b">
        <f t="shared" si="57"/>
        <v>0</v>
      </c>
      <c r="BF35" s="99">
        <f t="shared" si="58"/>
        <v>1</v>
      </c>
      <c r="BG35" s="100">
        <f t="shared" si="59"/>
        <v>0</v>
      </c>
      <c r="BH35" s="101" t="b">
        <f t="shared" si="60"/>
        <v>0</v>
      </c>
      <c r="BI35" s="102">
        <f t="shared" si="61"/>
        <v>0</v>
      </c>
      <c r="BJ35" s="682">
        <f t="shared" si="62"/>
        <v>0</v>
      </c>
      <c r="BK35" s="124">
        <f t="shared" si="63"/>
        <v>0</v>
      </c>
      <c r="BL35" s="125">
        <f t="shared" si="64"/>
        <v>0</v>
      </c>
      <c r="BM35" s="95" t="b">
        <f t="shared" si="65"/>
        <v>0</v>
      </c>
      <c r="BN35" s="96" t="b">
        <f t="shared" si="66"/>
        <v>0</v>
      </c>
      <c r="BO35" s="97">
        <f t="shared" si="67"/>
        <v>0</v>
      </c>
      <c r="BP35" s="98">
        <f t="shared" si="68"/>
        <v>0</v>
      </c>
      <c r="BQ35" s="682">
        <f t="shared" si="69"/>
        <v>0</v>
      </c>
      <c r="BR35" s="99">
        <f t="shared" si="70"/>
        <v>0</v>
      </c>
      <c r="BS35" s="100">
        <f t="shared" si="71"/>
        <v>1</v>
      </c>
      <c r="BT35" s="101" t="b">
        <f t="shared" si="72"/>
        <v>0</v>
      </c>
      <c r="BU35" s="99">
        <f t="shared" si="73"/>
        <v>0</v>
      </c>
      <c r="BV35" s="100">
        <f t="shared" si="74"/>
        <v>1</v>
      </c>
      <c r="BW35" s="101" t="b">
        <f t="shared" si="75"/>
        <v>0</v>
      </c>
      <c r="BX35" s="102">
        <f t="shared" si="76"/>
        <v>0</v>
      </c>
      <c r="BY35" s="682">
        <f t="shared" si="77"/>
        <v>0</v>
      </c>
      <c r="BZ35" s="124">
        <f t="shared" si="78"/>
        <v>0</v>
      </c>
      <c r="CA35" s="125">
        <f t="shared" si="79"/>
        <v>0</v>
      </c>
      <c r="CB35" s="95" t="b">
        <f t="shared" si="80"/>
        <v>0</v>
      </c>
      <c r="CC35" s="96" t="b">
        <f t="shared" si="81"/>
        <v>0</v>
      </c>
      <c r="CD35" s="97">
        <f t="shared" si="82"/>
        <v>0</v>
      </c>
      <c r="CE35" s="98">
        <f t="shared" si="83"/>
        <v>0</v>
      </c>
      <c r="CF35" s="682">
        <f t="shared" si="84"/>
        <v>0</v>
      </c>
      <c r="CG35" s="99">
        <f t="shared" si="85"/>
        <v>0</v>
      </c>
      <c r="CH35" s="100">
        <f t="shared" si="86"/>
        <v>1</v>
      </c>
      <c r="CI35" s="101" t="b">
        <f t="shared" si="87"/>
        <v>0</v>
      </c>
      <c r="CJ35" s="99">
        <f t="shared" si="88"/>
        <v>0</v>
      </c>
      <c r="CK35" s="100">
        <f t="shared" si="89"/>
        <v>1</v>
      </c>
      <c r="CL35" s="101" t="b">
        <f t="shared" si="90"/>
        <v>0</v>
      </c>
      <c r="CM35" s="102">
        <f t="shared" si="91"/>
        <v>0</v>
      </c>
      <c r="CN35" s="682">
        <f t="shared" si="92"/>
        <v>0</v>
      </c>
      <c r="CO35" s="124">
        <f t="shared" si="93"/>
        <v>0</v>
      </c>
      <c r="CP35" s="125">
        <f t="shared" si="94"/>
        <v>0</v>
      </c>
      <c r="CQ35" s="103" t="b">
        <f t="shared" si="95"/>
        <v>0</v>
      </c>
      <c r="CR35" s="96" t="b">
        <f t="shared" si="96"/>
        <v>0</v>
      </c>
      <c r="CS35" s="97">
        <f t="shared" si="97"/>
        <v>0</v>
      </c>
      <c r="CT35" s="98">
        <f t="shared" si="98"/>
        <v>0</v>
      </c>
      <c r="CU35" s="682">
        <f t="shared" si="99"/>
        <v>0</v>
      </c>
      <c r="CV35" s="99">
        <f t="shared" si="100"/>
        <v>0</v>
      </c>
      <c r="CW35" s="100">
        <f t="shared" si="101"/>
        <v>1</v>
      </c>
      <c r="CX35" s="101" t="b">
        <f t="shared" si="102"/>
        <v>0</v>
      </c>
      <c r="CY35" s="99">
        <f t="shared" si="103"/>
        <v>0</v>
      </c>
      <c r="CZ35" s="100">
        <f t="shared" si="104"/>
        <v>1</v>
      </c>
      <c r="DA35" s="101" t="b">
        <f t="shared" si="105"/>
        <v>0</v>
      </c>
      <c r="DB35" s="102">
        <f t="shared" si="106"/>
        <v>0</v>
      </c>
      <c r="DC35" s="683">
        <f t="shared" si="107"/>
        <v>0</v>
      </c>
      <c r="DD35" s="123">
        <f t="shared" si="108"/>
        <v>3.125E-2</v>
      </c>
      <c r="DE35" s="104">
        <f t="shared" si="109"/>
        <v>0</v>
      </c>
      <c r="DG35" s="144"/>
      <c r="DH35" s="58" t="s">
        <v>615</v>
      </c>
      <c r="DI35" s="144"/>
      <c r="DJ35" s="58" t="s">
        <v>616</v>
      </c>
      <c r="DK35" s="151" t="s">
        <v>604</v>
      </c>
      <c r="DL35" s="133" t="s">
        <v>545</v>
      </c>
      <c r="DM35" s="134" t="str">
        <f>IF(祝日表!B37="","",祝日表!B37)</f>
        <v/>
      </c>
      <c r="DN35" s="148"/>
      <c r="DO35" s="148"/>
      <c r="DP35" s="148"/>
      <c r="DQ35" s="148"/>
      <c r="DR35" s="162"/>
      <c r="DS35" s="151"/>
      <c r="DT35" s="58">
        <v>19</v>
      </c>
      <c r="DU35" s="120">
        <f t="shared" si="114"/>
        <v>44458</v>
      </c>
      <c r="DV35" s="51">
        <f t="shared" si="115"/>
        <v>1</v>
      </c>
      <c r="DW35" s="121" t="s">
        <v>596</v>
      </c>
      <c r="DX35" s="152"/>
      <c r="DY35" s="139">
        <f t="shared" si="2"/>
        <v>0</v>
      </c>
      <c r="DZ35" s="119">
        <f t="shared" si="110"/>
        <v>0</v>
      </c>
      <c r="EA35" s="51">
        <f t="shared" si="27"/>
        <v>0</v>
      </c>
      <c r="EB35" s="144"/>
      <c r="EC35" s="51">
        <f t="shared" si="28"/>
        <v>1</v>
      </c>
      <c r="ED35" s="144"/>
      <c r="EE35" s="622"/>
      <c r="EF35" s="622"/>
      <c r="EG35" s="622"/>
      <c r="EH35" s="622"/>
    </row>
    <row r="36" spans="1:138" ht="26.25" thickBot="1">
      <c r="A36" s="179"/>
      <c r="B36" s="181"/>
      <c r="C36" s="181"/>
      <c r="D36" s="179"/>
      <c r="E36" s="178"/>
      <c r="F36" s="182"/>
      <c r="G36" s="183"/>
      <c r="H36" s="108">
        <f t="shared" ref="H36:O36" si="116">SUM(H5:H35)</f>
        <v>5.5625</v>
      </c>
      <c r="I36" s="108">
        <f t="shared" si="116"/>
        <v>0.46875</v>
      </c>
      <c r="J36" s="539">
        <f>SUM(J5:J35)</f>
        <v>5.0937499999999991</v>
      </c>
      <c r="K36" s="193"/>
      <c r="L36" s="108">
        <f>SUM(L5:L35)</f>
        <v>5.479166666666667</v>
      </c>
      <c r="M36" s="607">
        <f t="shared" si="116"/>
        <v>0.20833333333333343</v>
      </c>
      <c r="N36" s="539">
        <f t="shared" si="116"/>
        <v>0</v>
      </c>
      <c r="O36" s="606">
        <f t="shared" si="116"/>
        <v>0.20833333333333343</v>
      </c>
      <c r="P36" s="140"/>
      <c r="Q36" s="142"/>
      <c r="R36" s="363">
        <f>SUM(R5:R35)</f>
        <v>0</v>
      </c>
      <c r="S36" s="364">
        <f t="shared" ref="S36:AA36" si="117">SUM(S5:S35)</f>
        <v>0</v>
      </c>
      <c r="T36" s="363">
        <f>SUM(T5:T35)</f>
        <v>0</v>
      </c>
      <c r="U36" s="363">
        <f>SUM(U5:U35)</f>
        <v>0</v>
      </c>
      <c r="V36" s="364">
        <f t="shared" si="117"/>
        <v>2</v>
      </c>
      <c r="W36" s="364">
        <f t="shared" si="117"/>
        <v>0</v>
      </c>
      <c r="X36" s="363">
        <f t="shared" si="117"/>
        <v>0</v>
      </c>
      <c r="Y36" s="364">
        <f t="shared" si="117"/>
        <v>0</v>
      </c>
      <c r="Z36" s="363">
        <f t="shared" si="117"/>
        <v>0</v>
      </c>
      <c r="AA36" s="363">
        <f t="shared" si="117"/>
        <v>0</v>
      </c>
      <c r="AB36" s="363">
        <f>SUM(AB5:AB35)</f>
        <v>0</v>
      </c>
      <c r="AC36" s="363">
        <f>SUM(AC5:AC35)</f>
        <v>0</v>
      </c>
      <c r="AD36" s="363">
        <f>SUM(AD5:AD35)</f>
        <v>0</v>
      </c>
      <c r="AE36" s="141"/>
      <c r="AF36" s="141"/>
      <c r="AG36" s="142"/>
      <c r="AH36" s="109"/>
      <c r="AI36" s="109"/>
      <c r="AJ36" s="110"/>
      <c r="AK36" s="109"/>
      <c r="AL36" s="110"/>
      <c r="AM36" s="110"/>
      <c r="AN36" s="110"/>
      <c r="AO36" s="110"/>
      <c r="AP36" s="110"/>
      <c r="AQ36" s="110"/>
      <c r="AR36" s="110"/>
      <c r="AS36" s="110"/>
      <c r="AT36" s="110"/>
      <c r="AU36" s="110"/>
      <c r="AV36" s="110"/>
      <c r="AW36" s="110"/>
      <c r="AX36" s="110"/>
      <c r="AY36" s="110"/>
      <c r="AZ36" s="110"/>
      <c r="BA36" s="111"/>
      <c r="BB36" s="111"/>
      <c r="BC36" s="111"/>
      <c r="BD36" s="111"/>
      <c r="BE36" s="111"/>
      <c r="BF36" s="111"/>
      <c r="BG36" s="111"/>
      <c r="BH36" s="111"/>
      <c r="BI36" s="111"/>
      <c r="BJ36" s="111"/>
      <c r="BK36" s="111"/>
      <c r="BL36" s="111"/>
      <c r="BM36" s="111"/>
      <c r="BN36" s="111"/>
      <c r="BO36" s="111"/>
      <c r="BP36" s="111"/>
      <c r="BQ36" s="111"/>
      <c r="BR36" s="111"/>
      <c r="BS36" s="111"/>
      <c r="BT36" s="111"/>
      <c r="BU36" s="111"/>
      <c r="BV36" s="111"/>
      <c r="BW36" s="111"/>
      <c r="BX36" s="111"/>
      <c r="BY36" s="111"/>
      <c r="BZ36" s="111"/>
      <c r="CA36" s="111"/>
      <c r="CB36" s="111"/>
      <c r="CC36" s="111"/>
      <c r="CD36" s="111"/>
      <c r="CE36" s="111"/>
      <c r="CF36" s="111"/>
      <c r="CG36" s="111"/>
      <c r="CH36" s="111"/>
      <c r="CI36" s="111"/>
      <c r="CJ36" s="111"/>
      <c r="CK36" s="111"/>
      <c r="CL36" s="111"/>
      <c r="CM36" s="111"/>
      <c r="CN36" s="111"/>
      <c r="CO36" s="111"/>
      <c r="CP36" s="111"/>
      <c r="CQ36" s="106"/>
      <c r="CR36" s="107"/>
      <c r="CS36" s="107"/>
      <c r="CT36" s="107"/>
      <c r="CU36" s="107"/>
      <c r="CV36" s="107"/>
      <c r="CW36" s="107"/>
      <c r="CX36" s="107"/>
      <c r="CY36" s="107"/>
      <c r="CZ36" s="107"/>
      <c r="DA36" s="107"/>
      <c r="DB36" s="107"/>
      <c r="DC36" s="107"/>
      <c r="DD36" s="116">
        <f>SUM(DD5:DD35)</f>
        <v>0.46875</v>
      </c>
      <c r="DE36" s="112">
        <f>SUM(DE5:DE35)</f>
        <v>0</v>
      </c>
      <c r="DG36" s="144"/>
      <c r="DH36" s="336"/>
      <c r="DI36" s="144"/>
      <c r="DJ36" s="58" t="s">
        <v>617</v>
      </c>
      <c r="DK36" s="144"/>
      <c r="DL36" s="133" t="s">
        <v>545</v>
      </c>
      <c r="DM36" s="134" t="str">
        <f>IF(祝日表!B38="","",祝日表!B38)</f>
        <v/>
      </c>
      <c r="DN36" s="148"/>
      <c r="DO36" s="148"/>
      <c r="DP36" s="148"/>
      <c r="DQ36" s="148"/>
      <c r="DR36" s="162"/>
      <c r="DS36" s="151"/>
      <c r="DT36" s="58">
        <v>20</v>
      </c>
      <c r="DU36" s="120">
        <f t="shared" si="114"/>
        <v>44459</v>
      </c>
      <c r="DV36" s="51">
        <f t="shared" si="115"/>
        <v>2</v>
      </c>
      <c r="DW36" s="122" t="s">
        <v>586</v>
      </c>
      <c r="DX36" s="152"/>
      <c r="DY36" s="155">
        <f>SUM(DY5:DY35)</f>
        <v>8</v>
      </c>
      <c r="DZ36" s="156">
        <f>SUM(DZ5:DZ35)</f>
        <v>4</v>
      </c>
      <c r="EA36" s="157">
        <f>SUM(EA5:EA35)</f>
        <v>11</v>
      </c>
      <c r="EB36" s="144"/>
      <c r="EC36" s="137">
        <f>SUM(EC5:EC35)</f>
        <v>15</v>
      </c>
      <c r="ED36" s="144"/>
      <c r="EE36" s="622"/>
      <c r="EF36" s="622"/>
      <c r="EG36" s="622"/>
      <c r="EH36" s="622"/>
    </row>
    <row r="37" spans="1:138" ht="14.25" hidden="1" thickTop="1">
      <c r="A37" s="622"/>
      <c r="B37" s="629"/>
      <c r="C37" s="629"/>
      <c r="D37" s="632"/>
      <c r="E37" s="632"/>
      <c r="F37" s="633"/>
      <c r="G37" s="633"/>
      <c r="H37" s="634"/>
      <c r="I37" s="634"/>
      <c r="J37" s="634"/>
      <c r="K37" s="634"/>
      <c r="L37" s="634"/>
      <c r="M37" s="634"/>
      <c r="N37" s="634"/>
      <c r="O37" s="634"/>
      <c r="P37" s="634"/>
      <c r="Q37" s="634"/>
      <c r="R37" s="634"/>
      <c r="S37" s="634"/>
      <c r="T37" s="634"/>
      <c r="U37" s="634"/>
      <c r="V37" s="634"/>
      <c r="W37" s="634"/>
      <c r="X37" s="634"/>
      <c r="Y37" s="634"/>
      <c r="Z37" s="634"/>
      <c r="AA37" s="634"/>
      <c r="AB37" s="634"/>
      <c r="AC37" s="634"/>
      <c r="AD37" s="634"/>
      <c r="AE37" s="635"/>
      <c r="AF37" s="635"/>
      <c r="AG37" s="634"/>
      <c r="AH37" s="636"/>
      <c r="AI37" s="636"/>
      <c r="AJ37" s="634"/>
      <c r="AK37" s="636"/>
      <c r="AL37" s="637"/>
      <c r="AM37" s="637"/>
      <c r="AN37" s="637"/>
      <c r="AO37" s="637"/>
      <c r="AP37" s="637"/>
      <c r="AQ37" s="637"/>
      <c r="AR37" s="637"/>
      <c r="AS37" s="637"/>
      <c r="AT37" s="637"/>
      <c r="AU37" s="637"/>
      <c r="AV37" s="637"/>
      <c r="AW37" s="637"/>
      <c r="AX37" s="637"/>
      <c r="AY37" s="637"/>
      <c r="AZ37" s="637"/>
      <c r="BA37" s="622"/>
      <c r="BB37" s="622"/>
      <c r="BC37" s="622"/>
      <c r="BD37" s="622"/>
      <c r="BE37" s="622"/>
      <c r="BF37" s="622"/>
      <c r="BG37" s="622"/>
      <c r="BH37" s="622"/>
      <c r="BI37" s="622"/>
      <c r="BJ37" s="622"/>
      <c r="BK37" s="622"/>
      <c r="BL37" s="622"/>
      <c r="BM37" s="622"/>
      <c r="BN37" s="622"/>
      <c r="BO37" s="622"/>
      <c r="BP37" s="622"/>
      <c r="BQ37" s="622"/>
      <c r="BR37" s="622"/>
      <c r="BS37" s="622"/>
      <c r="BT37" s="622"/>
      <c r="BU37" s="622"/>
      <c r="BV37" s="622"/>
      <c r="BW37" s="622"/>
      <c r="BX37" s="622"/>
      <c r="BY37" s="622"/>
      <c r="BZ37" s="622"/>
      <c r="CA37" s="622"/>
      <c r="CB37" s="622"/>
      <c r="CC37" s="622"/>
      <c r="CD37" s="622"/>
      <c r="CE37" s="622"/>
      <c r="CF37" s="622"/>
      <c r="CG37" s="622"/>
      <c r="CH37" s="622"/>
      <c r="CI37" s="622"/>
      <c r="CJ37" s="622"/>
      <c r="CK37" s="622"/>
      <c r="CL37" s="622"/>
      <c r="CM37" s="622"/>
      <c r="CN37" s="622"/>
      <c r="CO37" s="622"/>
      <c r="CP37" s="622"/>
      <c r="CQ37" s="622"/>
      <c r="CR37" s="622"/>
      <c r="CS37" s="622"/>
      <c r="CT37" s="622"/>
      <c r="CU37" s="622"/>
      <c r="CV37" s="622"/>
      <c r="CW37" s="622"/>
      <c r="CX37" s="622"/>
      <c r="CY37" s="622"/>
      <c r="CZ37" s="622"/>
      <c r="DA37" s="622"/>
      <c r="DB37" s="622"/>
      <c r="DC37" s="622"/>
      <c r="DD37" s="622"/>
      <c r="DE37" s="638"/>
      <c r="DF37" s="622"/>
      <c r="DG37" s="145"/>
      <c r="DH37" s="145"/>
      <c r="DI37" s="145"/>
      <c r="DJ37" s="58" t="s">
        <v>618</v>
      </c>
      <c r="DK37" s="144"/>
      <c r="DL37" s="145"/>
      <c r="DM37" s="148"/>
      <c r="DN37" s="148"/>
      <c r="DO37" s="148"/>
      <c r="DP37" s="148"/>
      <c r="DQ37" s="148"/>
      <c r="DR37" s="162"/>
      <c r="DS37" s="151"/>
      <c r="DT37" s="58">
        <v>21</v>
      </c>
      <c r="DU37" s="120">
        <f t="shared" si="114"/>
        <v>44460</v>
      </c>
      <c r="DV37" s="51">
        <f t="shared" si="115"/>
        <v>3</v>
      </c>
      <c r="DW37" s="51">
        <f>MATCH(2,DV31:DV37,0)</f>
        <v>6</v>
      </c>
      <c r="DX37" s="152"/>
      <c r="DY37" s="152"/>
      <c r="DZ37" s="152"/>
      <c r="EA37" s="144"/>
      <c r="EB37" s="144"/>
      <c r="EC37" s="152"/>
      <c r="ED37" s="144"/>
      <c r="EE37" s="622"/>
      <c r="EF37" s="622"/>
      <c r="EG37" s="622"/>
      <c r="EH37" s="622"/>
    </row>
    <row r="38" spans="1:138" hidden="1">
      <c r="A38" s="687"/>
      <c r="B38" s="687"/>
      <c r="C38" s="630"/>
      <c r="D38" s="793" t="s">
        <v>619</v>
      </c>
      <c r="E38" s="794"/>
      <c r="F38" s="795"/>
      <c r="G38" s="634"/>
      <c r="H38" s="838" t="s">
        <v>620</v>
      </c>
      <c r="I38" s="839"/>
      <c r="J38" s="839"/>
      <c r="K38" s="839"/>
      <c r="L38" s="839"/>
      <c r="M38" s="839"/>
      <c r="N38" s="839"/>
      <c r="O38" s="840"/>
      <c r="P38" s="639"/>
      <c r="Q38" s="640"/>
      <c r="R38" s="640"/>
      <c r="S38" s="633"/>
      <c r="T38" s="633"/>
      <c r="U38" s="633"/>
      <c r="V38" s="633"/>
      <c r="W38" s="633"/>
      <c r="X38" s="633"/>
      <c r="Y38" s="633"/>
      <c r="Z38" s="633"/>
      <c r="AA38" s="633"/>
      <c r="AB38" s="633"/>
      <c r="AC38" s="633"/>
      <c r="AD38" s="633"/>
      <c r="AE38" s="635"/>
      <c r="AF38" s="635"/>
      <c r="AG38" s="634"/>
      <c r="AH38" s="636"/>
      <c r="AI38" s="636"/>
      <c r="AJ38" s="634"/>
      <c r="AK38" s="636"/>
      <c r="AL38" s="637"/>
      <c r="AM38" s="637"/>
      <c r="AN38" s="637"/>
      <c r="AO38" s="637"/>
      <c r="AP38" s="637"/>
      <c r="AQ38" s="637"/>
      <c r="AR38" s="637"/>
      <c r="AS38" s="637"/>
      <c r="AT38" s="637"/>
      <c r="AU38" s="637"/>
      <c r="AV38" s="637"/>
      <c r="AW38" s="637"/>
      <c r="AX38" s="637"/>
      <c r="AY38" s="637"/>
      <c r="AZ38" s="637"/>
      <c r="BA38" s="622"/>
      <c r="BB38" s="622"/>
      <c r="BC38" s="622"/>
      <c r="BD38" s="622"/>
      <c r="BE38" s="622"/>
      <c r="BF38" s="622"/>
      <c r="BG38" s="622"/>
      <c r="BH38" s="622"/>
      <c r="BI38" s="622"/>
      <c r="BJ38" s="622"/>
      <c r="BK38" s="622"/>
      <c r="BL38" s="622"/>
      <c r="BM38" s="622"/>
      <c r="BN38" s="622"/>
      <c r="BO38" s="622"/>
      <c r="BP38" s="622"/>
      <c r="BQ38" s="622"/>
      <c r="BR38" s="622"/>
      <c r="BS38" s="622"/>
      <c r="BT38" s="622"/>
      <c r="BU38" s="622"/>
      <c r="BV38" s="622"/>
      <c r="BW38" s="622"/>
      <c r="BX38" s="622"/>
      <c r="BY38" s="622"/>
      <c r="BZ38" s="622"/>
      <c r="CA38" s="622"/>
      <c r="CB38" s="622"/>
      <c r="CC38" s="622"/>
      <c r="CD38" s="622"/>
      <c r="CE38" s="622"/>
      <c r="CF38" s="622"/>
      <c r="CG38" s="622"/>
      <c r="CH38" s="622"/>
      <c r="CI38" s="622"/>
      <c r="CJ38" s="622"/>
      <c r="CK38" s="622"/>
      <c r="CL38" s="622"/>
      <c r="CM38" s="622"/>
      <c r="CN38" s="622"/>
      <c r="CO38" s="622"/>
      <c r="CP38" s="622"/>
      <c r="CQ38" s="622"/>
      <c r="CR38" s="622"/>
      <c r="CS38" s="622"/>
      <c r="CT38" s="622"/>
      <c r="CU38" s="622"/>
      <c r="CV38" s="622"/>
      <c r="CW38" s="622"/>
      <c r="CX38" s="622"/>
      <c r="CY38" s="622"/>
      <c r="CZ38" s="622"/>
      <c r="DA38" s="622"/>
      <c r="DB38" s="622"/>
      <c r="DC38" s="622"/>
      <c r="DD38" s="622"/>
      <c r="DE38" s="641"/>
      <c r="DF38" s="622"/>
      <c r="DG38" s="145"/>
      <c r="DH38" s="353" t="s">
        <v>621</v>
      </c>
      <c r="DI38" s="145"/>
      <c r="DJ38" s="58" t="s">
        <v>622</v>
      </c>
      <c r="DK38" s="144"/>
      <c r="DL38" s="133" t="s">
        <v>623</v>
      </c>
      <c r="DM38" s="134" t="str">
        <f>IF(祝日表!B40="","",祝日表!B40)</f>
        <v/>
      </c>
      <c r="DN38" s="148"/>
      <c r="DO38" s="148"/>
      <c r="DP38" s="148"/>
      <c r="DQ38" s="148"/>
      <c r="DR38" s="162"/>
      <c r="DS38" s="151"/>
      <c r="DT38" s="165" t="s">
        <v>445</v>
      </c>
      <c r="DU38" s="167"/>
      <c r="DV38" s="152"/>
      <c r="DW38" s="144"/>
      <c r="DX38" s="152"/>
      <c r="DY38" s="152"/>
      <c r="DZ38" s="51" t="s">
        <v>624</v>
      </c>
      <c r="EA38" s="154">
        <f>EA3-EA36</f>
        <v>20</v>
      </c>
      <c r="EB38" s="144"/>
      <c r="EC38" s="152"/>
      <c r="ED38" s="144"/>
      <c r="EE38" s="622"/>
      <c r="EF38" s="622"/>
      <c r="EG38" s="622"/>
      <c r="EH38" s="622"/>
    </row>
    <row r="39" spans="1:138" ht="13.5" hidden="1" customHeight="1">
      <c r="A39" s="783" t="s">
        <v>625</v>
      </c>
      <c r="B39" s="783"/>
      <c r="C39" s="631"/>
      <c r="D39" s="800"/>
      <c r="E39" s="801"/>
      <c r="F39" s="802"/>
      <c r="G39" s="634"/>
      <c r="H39" s="806" t="s">
        <v>626</v>
      </c>
      <c r="I39" s="807"/>
      <c r="J39" s="810"/>
      <c r="K39" s="811"/>
      <c r="L39" s="811"/>
      <c r="M39" s="811"/>
      <c r="N39" s="811"/>
      <c r="O39" s="812"/>
      <c r="P39" s="642"/>
      <c r="Q39" s="643"/>
      <c r="R39" s="644"/>
      <c r="S39" s="633"/>
      <c r="T39" s="633"/>
      <c r="U39" s="633"/>
      <c r="V39" s="633"/>
      <c r="W39" s="633"/>
      <c r="X39" s="633"/>
      <c r="Y39" s="633"/>
      <c r="Z39" s="633"/>
      <c r="AA39" s="633"/>
      <c r="AB39" s="633"/>
      <c r="AC39" s="633"/>
      <c r="AD39" s="633"/>
      <c r="AE39" s="635"/>
      <c r="AF39" s="635"/>
      <c r="AG39" s="634"/>
      <c r="AH39" s="636"/>
      <c r="AI39" s="636"/>
      <c r="AJ39" s="634"/>
      <c r="AK39" s="636"/>
      <c r="AL39" s="637"/>
      <c r="AM39" s="637"/>
      <c r="AN39" s="637"/>
      <c r="AO39" s="637"/>
      <c r="AP39" s="637"/>
      <c r="AQ39" s="637"/>
      <c r="AR39" s="637"/>
      <c r="AS39" s="637"/>
      <c r="AT39" s="637"/>
      <c r="AU39" s="637"/>
      <c r="AV39" s="637"/>
      <c r="AW39" s="637"/>
      <c r="AX39" s="637"/>
      <c r="AY39" s="637"/>
      <c r="AZ39" s="637"/>
      <c r="BA39" s="622"/>
      <c r="BB39" s="622"/>
      <c r="BC39" s="622"/>
      <c r="BD39" s="622"/>
      <c r="BE39" s="622"/>
      <c r="BF39" s="622"/>
      <c r="BG39" s="622"/>
      <c r="BH39" s="622"/>
      <c r="BI39" s="622"/>
      <c r="BJ39" s="622"/>
      <c r="BK39" s="622"/>
      <c r="BL39" s="622"/>
      <c r="BM39" s="622"/>
      <c r="BN39" s="622"/>
      <c r="BO39" s="622"/>
      <c r="BP39" s="622"/>
      <c r="BQ39" s="622"/>
      <c r="BR39" s="622"/>
      <c r="BS39" s="622"/>
      <c r="BT39" s="622"/>
      <c r="BU39" s="622"/>
      <c r="BV39" s="622"/>
      <c r="BW39" s="622"/>
      <c r="BX39" s="622"/>
      <c r="BY39" s="622"/>
      <c r="BZ39" s="622"/>
      <c r="CA39" s="622"/>
      <c r="CB39" s="622"/>
      <c r="CC39" s="622"/>
      <c r="CD39" s="622"/>
      <c r="CE39" s="622"/>
      <c r="CF39" s="622"/>
      <c r="CG39" s="622"/>
      <c r="CH39" s="622"/>
      <c r="CI39" s="622"/>
      <c r="CJ39" s="622"/>
      <c r="CK39" s="622"/>
      <c r="CL39" s="622"/>
      <c r="CM39" s="622"/>
      <c r="CN39" s="622"/>
      <c r="CO39" s="622"/>
      <c r="CP39" s="622"/>
      <c r="CQ39" s="622"/>
      <c r="CR39" s="622"/>
      <c r="CS39" s="622"/>
      <c r="CT39" s="622"/>
      <c r="CU39" s="622"/>
      <c r="CV39" s="622"/>
      <c r="CW39" s="622"/>
      <c r="CX39" s="622"/>
      <c r="CY39" s="622"/>
      <c r="CZ39" s="622"/>
      <c r="DA39" s="622"/>
      <c r="DB39" s="622"/>
      <c r="DC39" s="622"/>
      <c r="DD39" s="622"/>
      <c r="DE39" s="622"/>
      <c r="DF39" s="622"/>
      <c r="DG39" s="145"/>
      <c r="DH39" s="339">
        <v>15</v>
      </c>
      <c r="DI39" s="145"/>
      <c r="DJ39" s="58" t="s">
        <v>627</v>
      </c>
      <c r="DK39" s="144"/>
      <c r="DL39" s="133" t="s">
        <v>623</v>
      </c>
      <c r="DM39" s="134" t="str">
        <f>IF(祝日表!B41="","",祝日表!B41)</f>
        <v/>
      </c>
      <c r="DN39" s="148"/>
      <c r="DO39" s="148"/>
      <c r="DP39" s="148"/>
      <c r="DQ39" s="148"/>
      <c r="DR39" s="162"/>
      <c r="DS39" s="164"/>
      <c r="DT39" s="166">
        <f>INDEX(DU31:DU37,DW37)</f>
        <v>44459</v>
      </c>
      <c r="DU39" s="168"/>
      <c r="DV39" s="152"/>
      <c r="DW39" s="144"/>
      <c r="DX39" s="152"/>
      <c r="DY39" s="152"/>
      <c r="DZ39" s="152"/>
      <c r="EA39" s="144"/>
      <c r="EB39" s="144"/>
      <c r="EC39" s="152"/>
      <c r="ED39" s="144"/>
      <c r="EE39" s="622"/>
      <c r="EF39" s="622"/>
      <c r="EG39" s="622"/>
      <c r="EH39" s="622"/>
    </row>
    <row r="40" spans="1:138" ht="13.5" hidden="1" customHeight="1">
      <c r="A40" s="783"/>
      <c r="B40" s="783"/>
      <c r="C40" s="631"/>
      <c r="D40" s="803"/>
      <c r="E40" s="804"/>
      <c r="F40" s="805"/>
      <c r="G40" s="634"/>
      <c r="H40" s="808"/>
      <c r="I40" s="809"/>
      <c r="J40" s="813"/>
      <c r="K40" s="814"/>
      <c r="L40" s="814"/>
      <c r="M40" s="814"/>
      <c r="N40" s="814"/>
      <c r="O40" s="815"/>
      <c r="P40" s="645"/>
      <c r="Q40" s="646"/>
      <c r="R40" s="644"/>
      <c r="S40" s="633"/>
      <c r="T40" s="633"/>
      <c r="U40" s="633"/>
      <c r="V40" s="633"/>
      <c r="W40" s="633"/>
      <c r="X40" s="633"/>
      <c r="Y40" s="633"/>
      <c r="Z40" s="633"/>
      <c r="AA40" s="633"/>
      <c r="AB40" s="633"/>
      <c r="AC40" s="633"/>
      <c r="AD40" s="633"/>
      <c r="AE40" s="635"/>
      <c r="AF40" s="635"/>
      <c r="AG40" s="634"/>
      <c r="AH40" s="636"/>
      <c r="AI40" s="636"/>
      <c r="AJ40" s="634"/>
      <c r="AK40" s="636"/>
      <c r="AL40" s="637"/>
      <c r="AM40" s="637"/>
      <c r="AN40" s="637"/>
      <c r="AO40" s="637"/>
      <c r="AP40" s="637"/>
      <c r="AQ40" s="637"/>
      <c r="AR40" s="637"/>
      <c r="AS40" s="637"/>
      <c r="AT40" s="637"/>
      <c r="AU40" s="637"/>
      <c r="AV40" s="637"/>
      <c r="AW40" s="637"/>
      <c r="AX40" s="637"/>
      <c r="AY40" s="637"/>
      <c r="AZ40" s="637"/>
      <c r="BA40" s="622"/>
      <c r="BB40" s="622"/>
      <c r="BC40" s="622"/>
      <c r="BD40" s="622"/>
      <c r="BE40" s="622"/>
      <c r="BF40" s="622"/>
      <c r="BG40" s="622"/>
      <c r="BH40" s="622"/>
      <c r="BI40" s="622"/>
      <c r="BJ40" s="622"/>
      <c r="BK40" s="622"/>
      <c r="BL40" s="622"/>
      <c r="BM40" s="622"/>
      <c r="BN40" s="622"/>
      <c r="BO40" s="622"/>
      <c r="BP40" s="622"/>
      <c r="BQ40" s="622"/>
      <c r="BR40" s="622"/>
      <c r="BS40" s="622"/>
      <c r="BT40" s="622"/>
      <c r="BU40" s="622"/>
      <c r="BV40" s="622"/>
      <c r="BW40" s="622"/>
      <c r="BX40" s="622"/>
      <c r="BY40" s="622"/>
      <c r="BZ40" s="622"/>
      <c r="CA40" s="622"/>
      <c r="CB40" s="622"/>
      <c r="CC40" s="622"/>
      <c r="CD40" s="622"/>
      <c r="CE40" s="622"/>
      <c r="CF40" s="622"/>
      <c r="CG40" s="622"/>
      <c r="CH40" s="622"/>
      <c r="CI40" s="622"/>
      <c r="CJ40" s="622"/>
      <c r="CK40" s="622"/>
      <c r="CL40" s="622"/>
      <c r="CM40" s="622"/>
      <c r="CN40" s="622"/>
      <c r="CO40" s="622"/>
      <c r="CP40" s="622"/>
      <c r="CQ40" s="622"/>
      <c r="CR40" s="622"/>
      <c r="CS40" s="622"/>
      <c r="CT40" s="622"/>
      <c r="CU40" s="622"/>
      <c r="CV40" s="622"/>
      <c r="CW40" s="622"/>
      <c r="CX40" s="622"/>
      <c r="CY40" s="622"/>
      <c r="CZ40" s="622"/>
      <c r="DA40" s="622"/>
      <c r="DB40" s="622"/>
      <c r="DC40" s="622"/>
      <c r="DD40" s="622"/>
      <c r="DE40" s="622"/>
      <c r="DF40" s="622"/>
      <c r="DG40" s="145"/>
      <c r="DH40" s="339">
        <v>30</v>
      </c>
      <c r="DI40" s="145"/>
      <c r="DJ40" s="58" t="s">
        <v>628</v>
      </c>
      <c r="DK40" s="144"/>
      <c r="DL40" s="133" t="s">
        <v>623</v>
      </c>
      <c r="DM40" s="134" t="str">
        <f>IF(祝日表!B42="","",祝日表!B42)</f>
        <v/>
      </c>
      <c r="DN40" s="148"/>
      <c r="DO40" s="148"/>
      <c r="DP40" s="148"/>
      <c r="DQ40" s="148"/>
      <c r="DR40" s="162"/>
      <c r="DS40" s="151"/>
      <c r="DT40" s="144"/>
      <c r="DU40" s="651" t="s">
        <v>629</v>
      </c>
      <c r="DV40" s="628"/>
      <c r="DW40" s="627"/>
      <c r="DX40" s="152"/>
      <c r="DY40" s="152"/>
      <c r="DZ40" s="152"/>
      <c r="EA40" s="144"/>
      <c r="EB40" s="144"/>
      <c r="EC40" s="152"/>
      <c r="ED40" s="144"/>
      <c r="EE40" s="622"/>
      <c r="EF40" s="622"/>
      <c r="EG40" s="622"/>
      <c r="EH40" s="622"/>
    </row>
    <row r="41" spans="1:138" ht="13.5" hidden="1" customHeight="1">
      <c r="A41" s="783"/>
      <c r="B41" s="783"/>
      <c r="C41" s="630"/>
      <c r="D41" s="803"/>
      <c r="E41" s="804"/>
      <c r="F41" s="805"/>
      <c r="G41" s="634"/>
      <c r="H41" s="826" t="s">
        <v>630</v>
      </c>
      <c r="I41" s="827"/>
      <c r="J41" s="827"/>
      <c r="K41" s="827"/>
      <c r="L41" s="827"/>
      <c r="M41" s="827"/>
      <c r="N41" s="827"/>
      <c r="O41" s="828"/>
      <c r="P41" s="645"/>
      <c r="Q41" s="646"/>
      <c r="R41" s="644"/>
      <c r="S41" s="633"/>
      <c r="T41" s="633"/>
      <c r="U41" s="633"/>
      <c r="V41" s="633"/>
      <c r="W41" s="633"/>
      <c r="X41" s="633"/>
      <c r="Y41" s="633"/>
      <c r="Z41" s="633"/>
      <c r="AA41" s="633"/>
      <c r="AB41" s="633"/>
      <c r="AC41" s="633"/>
      <c r="AD41" s="633"/>
      <c r="AE41" s="635"/>
      <c r="AF41" s="635"/>
      <c r="AG41" s="634"/>
      <c r="AH41" s="636"/>
      <c r="AI41" s="636"/>
      <c r="AJ41" s="634"/>
      <c r="AK41" s="636"/>
      <c r="AL41" s="637"/>
      <c r="AM41" s="637"/>
      <c r="AN41" s="637"/>
      <c r="AO41" s="637"/>
      <c r="AP41" s="637"/>
      <c r="AQ41" s="637"/>
      <c r="AR41" s="637"/>
      <c r="AS41" s="637"/>
      <c r="AT41" s="637"/>
      <c r="AU41" s="637"/>
      <c r="AV41" s="637"/>
      <c r="AW41" s="637"/>
      <c r="AX41" s="637"/>
      <c r="AY41" s="637"/>
      <c r="AZ41" s="637"/>
      <c r="BA41" s="622"/>
      <c r="BB41" s="622"/>
      <c r="BC41" s="622"/>
      <c r="BD41" s="622"/>
      <c r="BE41" s="622"/>
      <c r="BF41" s="622"/>
      <c r="BG41" s="622"/>
      <c r="BH41" s="622"/>
      <c r="BI41" s="622"/>
      <c r="BJ41" s="622"/>
      <c r="BK41" s="622"/>
      <c r="BL41" s="622"/>
      <c r="BM41" s="622"/>
      <c r="BN41" s="622"/>
      <c r="BO41" s="622"/>
      <c r="BP41" s="622"/>
      <c r="BQ41" s="622"/>
      <c r="BR41" s="622"/>
      <c r="BS41" s="622"/>
      <c r="BT41" s="622"/>
      <c r="BU41" s="622"/>
      <c r="BV41" s="622"/>
      <c r="BW41" s="622"/>
      <c r="BX41" s="622"/>
      <c r="BY41" s="622"/>
      <c r="BZ41" s="622"/>
      <c r="CA41" s="622"/>
      <c r="CB41" s="622"/>
      <c r="CC41" s="622"/>
      <c r="CD41" s="622"/>
      <c r="CE41" s="622"/>
      <c r="CF41" s="622"/>
      <c r="CG41" s="622"/>
      <c r="CH41" s="622"/>
      <c r="CI41" s="622"/>
      <c r="CJ41" s="622"/>
      <c r="CK41" s="622"/>
      <c r="CL41" s="622"/>
      <c r="CM41" s="622"/>
      <c r="CN41" s="622"/>
      <c r="CO41" s="622"/>
      <c r="CP41" s="622"/>
      <c r="CQ41" s="622"/>
      <c r="CR41" s="622"/>
      <c r="CS41" s="622"/>
      <c r="CT41" s="622"/>
      <c r="CU41" s="622"/>
      <c r="CV41" s="622"/>
      <c r="CW41" s="622"/>
      <c r="CX41" s="622"/>
      <c r="CY41" s="622"/>
      <c r="CZ41" s="622"/>
      <c r="DA41" s="622"/>
      <c r="DB41" s="622"/>
      <c r="DC41" s="622"/>
      <c r="DD41" s="622"/>
      <c r="DE41" s="622"/>
      <c r="DF41" s="622"/>
      <c r="DG41" s="145"/>
      <c r="DH41" s="144"/>
      <c r="DI41" s="145"/>
      <c r="DJ41" s="58" t="s">
        <v>496</v>
      </c>
      <c r="DK41" s="144"/>
      <c r="DL41" s="133" t="s">
        <v>623</v>
      </c>
      <c r="DM41" s="134" t="str">
        <f>IF(祝日表!B43="","",祝日表!B43)</f>
        <v/>
      </c>
      <c r="DN41" s="148"/>
      <c r="DO41" s="148"/>
      <c r="DP41" s="148"/>
      <c r="DQ41" s="148"/>
      <c r="DR41" s="162"/>
      <c r="DS41" s="151"/>
      <c r="DT41" s="58" t="s">
        <v>448</v>
      </c>
      <c r="DU41" s="627" t="s">
        <v>591</v>
      </c>
      <c r="DV41" s="628"/>
      <c r="DW41" s="627"/>
      <c r="DX41" s="152"/>
      <c r="DY41" s="152"/>
      <c r="DZ41" s="152"/>
      <c r="EA41" s="144"/>
      <c r="EB41" s="144"/>
      <c r="EC41" s="152"/>
      <c r="ED41" s="144"/>
      <c r="EE41" s="622"/>
      <c r="EF41" s="622"/>
      <c r="EG41" s="622"/>
      <c r="EH41" s="622"/>
    </row>
    <row r="42" spans="1:138" ht="13.5" hidden="1" customHeight="1">
      <c r="A42" s="783"/>
      <c r="B42" s="783"/>
      <c r="C42" s="629"/>
      <c r="D42" s="823" t="s">
        <v>631</v>
      </c>
      <c r="E42" s="824"/>
      <c r="F42" s="825"/>
      <c r="G42" s="634"/>
      <c r="H42" s="829"/>
      <c r="I42" s="830"/>
      <c r="J42" s="830"/>
      <c r="K42" s="830"/>
      <c r="L42" s="830"/>
      <c r="M42" s="830"/>
      <c r="N42" s="830"/>
      <c r="O42" s="831"/>
      <c r="P42" s="645"/>
      <c r="Q42" s="646"/>
      <c r="R42" s="644"/>
      <c r="S42" s="633"/>
      <c r="T42" s="633"/>
      <c r="U42" s="633"/>
      <c r="V42" s="633"/>
      <c r="W42" s="633"/>
      <c r="X42" s="633"/>
      <c r="Y42" s="633"/>
      <c r="Z42" s="633"/>
      <c r="AA42" s="633"/>
      <c r="AB42" s="633"/>
      <c r="AC42" s="633"/>
      <c r="AD42" s="633"/>
      <c r="AE42" s="635"/>
      <c r="AF42" s="635"/>
      <c r="AG42" s="634"/>
      <c r="AH42" s="636"/>
      <c r="AI42" s="636"/>
      <c r="AJ42" s="634"/>
      <c r="AK42" s="636"/>
      <c r="AL42" s="637"/>
      <c r="AM42" s="637"/>
      <c r="AN42" s="637"/>
      <c r="AO42" s="637"/>
      <c r="AP42" s="637"/>
      <c r="AQ42" s="637"/>
      <c r="AR42" s="637"/>
      <c r="AS42" s="637"/>
      <c r="AT42" s="637"/>
      <c r="AU42" s="637"/>
      <c r="AV42" s="637"/>
      <c r="AW42" s="637"/>
      <c r="AX42" s="637"/>
      <c r="AY42" s="637"/>
      <c r="AZ42" s="637"/>
      <c r="BA42" s="622"/>
      <c r="BB42" s="622"/>
      <c r="BC42" s="622"/>
      <c r="BD42" s="622"/>
      <c r="BE42" s="622"/>
      <c r="BF42" s="622"/>
      <c r="BG42" s="622"/>
      <c r="BH42" s="622"/>
      <c r="BI42" s="622"/>
      <c r="BJ42" s="622"/>
      <c r="BK42" s="622"/>
      <c r="BL42" s="622"/>
      <c r="BM42" s="622"/>
      <c r="BN42" s="622"/>
      <c r="BO42" s="622"/>
      <c r="BP42" s="622"/>
      <c r="BQ42" s="622"/>
      <c r="BR42" s="622"/>
      <c r="BS42" s="622"/>
      <c r="BT42" s="622"/>
      <c r="BU42" s="622"/>
      <c r="BV42" s="622"/>
      <c r="BW42" s="622"/>
      <c r="BX42" s="622"/>
      <c r="BY42" s="622"/>
      <c r="BZ42" s="622"/>
      <c r="CA42" s="622"/>
      <c r="CB42" s="622"/>
      <c r="CC42" s="622"/>
      <c r="CD42" s="622"/>
      <c r="CE42" s="622"/>
      <c r="CF42" s="622"/>
      <c r="CG42" s="622"/>
      <c r="CH42" s="622"/>
      <c r="CI42" s="622"/>
      <c r="CJ42" s="622"/>
      <c r="CK42" s="622"/>
      <c r="CL42" s="622"/>
      <c r="CM42" s="622"/>
      <c r="CN42" s="622"/>
      <c r="CO42" s="622"/>
      <c r="CP42" s="622"/>
      <c r="CQ42" s="622"/>
      <c r="CR42" s="622"/>
      <c r="CS42" s="622"/>
      <c r="CT42" s="622"/>
      <c r="CU42" s="622"/>
      <c r="CV42" s="622"/>
      <c r="CW42" s="622"/>
      <c r="CX42" s="622"/>
      <c r="CY42" s="622"/>
      <c r="CZ42" s="622"/>
      <c r="DA42" s="622"/>
      <c r="DB42" s="622"/>
      <c r="DC42" s="622"/>
      <c r="DD42" s="622"/>
      <c r="DE42" s="622"/>
      <c r="DF42" s="622"/>
      <c r="DG42" s="145"/>
      <c r="DH42" s="144"/>
      <c r="DI42" s="145"/>
      <c r="DJ42" s="145"/>
      <c r="DK42" s="144"/>
      <c r="DL42" s="133" t="s">
        <v>623</v>
      </c>
      <c r="DM42" s="134" t="str">
        <f>IF(祝日表!B44="","",祝日表!B44)</f>
        <v/>
      </c>
      <c r="DN42" s="148"/>
      <c r="DO42" s="148"/>
      <c r="DP42" s="148"/>
      <c r="DQ42" s="148"/>
      <c r="DR42" s="162"/>
      <c r="DS42" s="151"/>
      <c r="DT42" s="650">
        <f>祝日表!B17</f>
        <v>0</v>
      </c>
      <c r="DU42" s="54" t="s">
        <v>425</v>
      </c>
      <c r="DV42" s="119" t="str">
        <f>祝日表!D17</f>
        <v>第2月曜</v>
      </c>
      <c r="DW42" s="144"/>
      <c r="DX42" s="152"/>
      <c r="DY42" s="152"/>
      <c r="DZ42" s="152"/>
      <c r="EA42" s="144"/>
      <c r="EB42" s="144"/>
      <c r="EC42" s="152"/>
      <c r="ED42" s="144"/>
      <c r="EE42" s="622"/>
      <c r="EF42" s="622"/>
      <c r="EG42" s="622"/>
      <c r="EH42" s="622"/>
    </row>
    <row r="43" spans="1:138" ht="13.5" hidden="1" customHeight="1">
      <c r="A43" s="783"/>
      <c r="B43" s="783"/>
      <c r="C43" s="629"/>
      <c r="D43" s="816"/>
      <c r="E43" s="817"/>
      <c r="F43" s="818"/>
      <c r="G43" s="634"/>
      <c r="H43" s="832"/>
      <c r="I43" s="833"/>
      <c r="J43" s="833"/>
      <c r="K43" s="833"/>
      <c r="L43" s="833"/>
      <c r="M43" s="833"/>
      <c r="N43" s="833"/>
      <c r="O43" s="834"/>
      <c r="P43" s="645"/>
      <c r="Q43" s="646"/>
      <c r="R43" s="644"/>
      <c r="S43" s="634"/>
      <c r="T43" s="634"/>
      <c r="U43" s="634"/>
      <c r="V43" s="634"/>
      <c r="W43" s="634"/>
      <c r="X43" s="634"/>
      <c r="Y43" s="634"/>
      <c r="Z43" s="634"/>
      <c r="AA43" s="634"/>
      <c r="AB43" s="634"/>
      <c r="AC43" s="634"/>
      <c r="AD43" s="634"/>
      <c r="AE43" s="635"/>
      <c r="AF43" s="635"/>
      <c r="AG43" s="634"/>
      <c r="AH43" s="636"/>
      <c r="AI43" s="636"/>
      <c r="AJ43" s="634"/>
      <c r="AK43" s="636"/>
      <c r="AL43" s="637"/>
      <c r="AM43" s="637"/>
      <c r="AN43" s="637"/>
      <c r="AO43" s="637"/>
      <c r="AP43" s="637"/>
      <c r="AQ43" s="637"/>
      <c r="AR43" s="637"/>
      <c r="AS43" s="637"/>
      <c r="AT43" s="637"/>
      <c r="AU43" s="637"/>
      <c r="AV43" s="637"/>
      <c r="AW43" s="637"/>
      <c r="AX43" s="637"/>
      <c r="AY43" s="637"/>
      <c r="AZ43" s="637"/>
      <c r="BA43" s="622"/>
      <c r="BB43" s="622"/>
      <c r="BC43" s="622"/>
      <c r="BD43" s="622"/>
      <c r="BE43" s="622"/>
      <c r="BF43" s="622"/>
      <c r="BG43" s="622"/>
      <c r="BH43" s="622"/>
      <c r="BI43" s="622"/>
      <c r="BJ43" s="622"/>
      <c r="BK43" s="622"/>
      <c r="BL43" s="622"/>
      <c r="BM43" s="622"/>
      <c r="BN43" s="622"/>
      <c r="BO43" s="622"/>
      <c r="BP43" s="622"/>
      <c r="BQ43" s="622"/>
      <c r="BR43" s="622"/>
      <c r="BS43" s="622"/>
      <c r="BT43" s="622"/>
      <c r="BU43" s="622"/>
      <c r="BV43" s="622"/>
      <c r="BW43" s="622"/>
      <c r="BX43" s="622"/>
      <c r="BY43" s="622"/>
      <c r="BZ43" s="622"/>
      <c r="CA43" s="622"/>
      <c r="CB43" s="622"/>
      <c r="CC43" s="622"/>
      <c r="CD43" s="622"/>
      <c r="CE43" s="622"/>
      <c r="CF43" s="622"/>
      <c r="CG43" s="622"/>
      <c r="CH43" s="622"/>
      <c r="CI43" s="622"/>
      <c r="CJ43" s="622"/>
      <c r="CK43" s="622"/>
      <c r="CL43" s="622"/>
      <c r="CM43" s="622"/>
      <c r="CN43" s="622"/>
      <c r="CO43" s="622"/>
      <c r="CP43" s="622"/>
      <c r="CQ43" s="622"/>
      <c r="CR43" s="622"/>
      <c r="CS43" s="622"/>
      <c r="CT43" s="622"/>
      <c r="CU43" s="622"/>
      <c r="CV43" s="622"/>
      <c r="CW43" s="622"/>
      <c r="CX43" s="622"/>
      <c r="CY43" s="622"/>
      <c r="CZ43" s="622"/>
      <c r="DA43" s="622"/>
      <c r="DB43" s="622"/>
      <c r="DC43" s="622"/>
      <c r="DD43" s="622"/>
      <c r="DE43" s="622"/>
      <c r="DF43" s="622"/>
      <c r="DG43" s="145"/>
      <c r="DH43" s="144"/>
      <c r="DI43" s="145"/>
      <c r="DJ43" s="145"/>
      <c r="DK43" s="144"/>
      <c r="DL43" s="133" t="s">
        <v>623</v>
      </c>
      <c r="DM43" s="134" t="str">
        <f>IF(祝日表!B45="","",祝日表!B45)</f>
        <v/>
      </c>
      <c r="DN43" s="144"/>
      <c r="DO43" s="144"/>
      <c r="DP43" s="144"/>
      <c r="DQ43" s="144"/>
      <c r="DR43" s="117"/>
      <c r="DS43" s="151"/>
      <c r="DT43" s="58" t="s">
        <v>567</v>
      </c>
      <c r="DU43" s="58" t="s">
        <v>568</v>
      </c>
      <c r="DV43" s="51" t="s">
        <v>569</v>
      </c>
      <c r="DW43" s="144"/>
      <c r="DX43" s="152"/>
      <c r="DY43" s="152"/>
      <c r="DZ43" s="152"/>
      <c r="EA43" s="144"/>
      <c r="EB43" s="144"/>
      <c r="EC43" s="152"/>
      <c r="ED43" s="144"/>
      <c r="EE43" s="622"/>
      <c r="EF43" s="622"/>
      <c r="EG43" s="622"/>
      <c r="EH43" s="622"/>
    </row>
    <row r="44" spans="1:138" ht="13.5" hidden="1" customHeight="1">
      <c r="A44" s="783"/>
      <c r="B44" s="783"/>
      <c r="C44" s="629"/>
      <c r="D44" s="819"/>
      <c r="E44" s="817"/>
      <c r="F44" s="818"/>
      <c r="G44" s="634"/>
      <c r="H44" s="832"/>
      <c r="I44" s="833"/>
      <c r="J44" s="833"/>
      <c r="K44" s="833"/>
      <c r="L44" s="833"/>
      <c r="M44" s="833"/>
      <c r="N44" s="833"/>
      <c r="O44" s="834"/>
      <c r="P44" s="645"/>
      <c r="Q44" s="647"/>
      <c r="R44" s="644"/>
      <c r="S44" s="634"/>
      <c r="T44" s="634"/>
      <c r="U44" s="634"/>
      <c r="V44" s="634"/>
      <c r="W44" s="634"/>
      <c r="X44" s="634"/>
      <c r="Y44" s="634"/>
      <c r="Z44" s="634"/>
      <c r="AA44" s="634"/>
      <c r="AB44" s="634"/>
      <c r="AC44" s="634"/>
      <c r="AD44" s="634"/>
      <c r="AE44" s="635"/>
      <c r="AF44" s="635"/>
      <c r="AG44" s="634"/>
      <c r="AH44" s="636"/>
      <c r="AI44" s="636"/>
      <c r="AJ44" s="634"/>
      <c r="AK44" s="636"/>
      <c r="AL44" s="637"/>
      <c r="AM44" s="637"/>
      <c r="AN44" s="637"/>
      <c r="AO44" s="637"/>
      <c r="AP44" s="637"/>
      <c r="AQ44" s="637"/>
      <c r="AR44" s="637"/>
      <c r="AS44" s="637"/>
      <c r="AT44" s="637"/>
      <c r="AU44" s="637"/>
      <c r="AV44" s="637"/>
      <c r="AW44" s="637"/>
      <c r="AX44" s="637"/>
      <c r="AY44" s="637"/>
      <c r="AZ44" s="637"/>
      <c r="BA44" s="622"/>
      <c r="BB44" s="622"/>
      <c r="BC44" s="622"/>
      <c r="BD44" s="622"/>
      <c r="BE44" s="622"/>
      <c r="BF44" s="622"/>
      <c r="BG44" s="622"/>
      <c r="BH44" s="622"/>
      <c r="BI44" s="622"/>
      <c r="BJ44" s="622"/>
      <c r="BK44" s="622"/>
      <c r="BL44" s="622"/>
      <c r="BM44" s="622"/>
      <c r="BN44" s="622"/>
      <c r="BO44" s="622"/>
      <c r="BP44" s="622"/>
      <c r="BQ44" s="622"/>
      <c r="BR44" s="622"/>
      <c r="BS44" s="622"/>
      <c r="BT44" s="622"/>
      <c r="BU44" s="622"/>
      <c r="BV44" s="622"/>
      <c r="BW44" s="622"/>
      <c r="BX44" s="622"/>
      <c r="BY44" s="622"/>
      <c r="BZ44" s="622"/>
      <c r="CA44" s="622"/>
      <c r="CB44" s="622"/>
      <c r="CC44" s="622"/>
      <c r="CD44" s="622"/>
      <c r="CE44" s="622"/>
      <c r="CF44" s="622"/>
      <c r="CG44" s="622"/>
      <c r="CH44" s="622"/>
      <c r="CI44" s="622"/>
      <c r="CJ44" s="622"/>
      <c r="CK44" s="622"/>
      <c r="CL44" s="622"/>
      <c r="CM44" s="622"/>
      <c r="CN44" s="622"/>
      <c r="CO44" s="622"/>
      <c r="CP44" s="622"/>
      <c r="CQ44" s="622"/>
      <c r="CR44" s="622"/>
      <c r="CS44" s="622"/>
      <c r="CT44" s="622"/>
      <c r="CU44" s="622"/>
      <c r="CV44" s="622"/>
      <c r="CW44" s="622"/>
      <c r="CX44" s="622"/>
      <c r="CY44" s="622"/>
      <c r="CZ44" s="622"/>
      <c r="DA44" s="622"/>
      <c r="DB44" s="622"/>
      <c r="DC44" s="622"/>
      <c r="DD44" s="622"/>
      <c r="DE44" s="622"/>
      <c r="DF44" s="622"/>
      <c r="DG44" s="145"/>
      <c r="DH44" s="144"/>
      <c r="DI44" s="145"/>
      <c r="DJ44" s="145"/>
      <c r="DK44" s="144"/>
      <c r="DL44" s="133" t="s">
        <v>623</v>
      </c>
      <c r="DM44" s="134" t="str">
        <f>IF(祝日表!B46="","",祝日表!B46)</f>
        <v/>
      </c>
      <c r="DN44" s="144"/>
      <c r="DO44" s="144"/>
      <c r="DP44" s="144"/>
      <c r="DQ44" s="144"/>
      <c r="DR44" s="117"/>
      <c r="DS44" s="151"/>
      <c r="DT44" s="58">
        <v>8</v>
      </c>
      <c r="DU44" s="120">
        <f>DATE($A$1,DT$42,DT44)</f>
        <v>44173</v>
      </c>
      <c r="DV44" s="51">
        <f>WEEKDAY(DU44,1)</f>
        <v>3</v>
      </c>
      <c r="DW44" s="144"/>
      <c r="DX44" s="152"/>
      <c r="DY44" s="152"/>
      <c r="DZ44" s="152"/>
      <c r="EA44" s="144"/>
      <c r="EB44" s="144"/>
      <c r="EC44" s="152"/>
      <c r="ED44" s="144"/>
      <c r="EE44" s="622"/>
      <c r="EF44" s="622"/>
      <c r="EG44" s="622"/>
      <c r="EH44" s="622"/>
    </row>
    <row r="45" spans="1:138" ht="13.5" hidden="1" customHeight="1">
      <c r="A45" s="783"/>
      <c r="B45" s="783"/>
      <c r="C45" s="629"/>
      <c r="D45" s="820"/>
      <c r="E45" s="821"/>
      <c r="F45" s="822"/>
      <c r="G45" s="634"/>
      <c r="H45" s="835"/>
      <c r="I45" s="836"/>
      <c r="J45" s="836"/>
      <c r="K45" s="836"/>
      <c r="L45" s="836"/>
      <c r="M45" s="836"/>
      <c r="N45" s="836"/>
      <c r="O45" s="837"/>
      <c r="P45" s="645"/>
      <c r="Q45" s="647"/>
      <c r="R45" s="644"/>
      <c r="S45" s="634"/>
      <c r="T45" s="634"/>
      <c r="U45" s="634"/>
      <c r="V45" s="634"/>
      <c r="W45" s="634"/>
      <c r="X45" s="634"/>
      <c r="Y45" s="634"/>
      <c r="Z45" s="634"/>
      <c r="AA45" s="634"/>
      <c r="AB45" s="634"/>
      <c r="AC45" s="634"/>
      <c r="AD45" s="634"/>
      <c r="AE45" s="635"/>
      <c r="AF45" s="635"/>
      <c r="AG45" s="634"/>
      <c r="AH45" s="636"/>
      <c r="AI45" s="636"/>
      <c r="AJ45" s="634"/>
      <c r="AK45" s="636"/>
      <c r="AL45" s="637"/>
      <c r="AM45" s="637"/>
      <c r="AN45" s="637"/>
      <c r="AO45" s="637"/>
      <c r="AP45" s="637"/>
      <c r="AQ45" s="637"/>
      <c r="AR45" s="637"/>
      <c r="AS45" s="637"/>
      <c r="AT45" s="637"/>
      <c r="AU45" s="637"/>
      <c r="AV45" s="637"/>
      <c r="AW45" s="637"/>
      <c r="AX45" s="637"/>
      <c r="AY45" s="637"/>
      <c r="AZ45" s="637"/>
      <c r="BA45" s="622"/>
      <c r="BB45" s="622"/>
      <c r="BC45" s="622"/>
      <c r="BD45" s="622"/>
      <c r="BE45" s="622"/>
      <c r="BF45" s="622"/>
      <c r="BG45" s="622"/>
      <c r="BH45" s="622"/>
      <c r="BI45" s="622"/>
      <c r="BJ45" s="622"/>
      <c r="BK45" s="622"/>
      <c r="BL45" s="622"/>
      <c r="BM45" s="622"/>
      <c r="BN45" s="622"/>
      <c r="BO45" s="622"/>
      <c r="BP45" s="622"/>
      <c r="BQ45" s="622"/>
      <c r="BR45" s="622"/>
      <c r="BS45" s="622"/>
      <c r="BT45" s="622"/>
      <c r="BU45" s="622"/>
      <c r="BV45" s="622"/>
      <c r="BW45" s="622"/>
      <c r="BX45" s="622"/>
      <c r="BY45" s="622"/>
      <c r="BZ45" s="622"/>
      <c r="CA45" s="622"/>
      <c r="CB45" s="622"/>
      <c r="CC45" s="622"/>
      <c r="CD45" s="622"/>
      <c r="CE45" s="622"/>
      <c r="CF45" s="622"/>
      <c r="CG45" s="622"/>
      <c r="CH45" s="622"/>
      <c r="CI45" s="622"/>
      <c r="CJ45" s="622"/>
      <c r="CK45" s="622"/>
      <c r="CL45" s="622"/>
      <c r="CM45" s="622"/>
      <c r="CN45" s="622"/>
      <c r="CO45" s="622"/>
      <c r="CP45" s="622"/>
      <c r="CQ45" s="622"/>
      <c r="CR45" s="622"/>
      <c r="CS45" s="622"/>
      <c r="CT45" s="622"/>
      <c r="CU45" s="622"/>
      <c r="CV45" s="622"/>
      <c r="CW45" s="622"/>
      <c r="CX45" s="622"/>
      <c r="CY45" s="622"/>
      <c r="CZ45" s="622"/>
      <c r="DA45" s="622"/>
      <c r="DB45" s="622"/>
      <c r="DC45" s="622"/>
      <c r="DD45" s="622"/>
      <c r="DE45" s="622"/>
      <c r="DF45" s="622"/>
      <c r="DG45" s="145"/>
      <c r="DH45" s="145"/>
      <c r="DI45" s="145"/>
      <c r="DJ45" s="145"/>
      <c r="DK45" s="144"/>
      <c r="DL45" s="144"/>
      <c r="DM45" s="144"/>
      <c r="DN45" s="144"/>
      <c r="DO45" s="144"/>
      <c r="DP45" s="144"/>
      <c r="DQ45" s="144"/>
      <c r="DR45" s="117"/>
      <c r="DS45" s="151"/>
      <c r="DT45" s="58">
        <v>9</v>
      </c>
      <c r="DU45" s="120">
        <f t="shared" ref="DU45:DU50" si="118">DATE($A$1,DT$42,DT45)</f>
        <v>44174</v>
      </c>
      <c r="DV45" s="51">
        <f t="shared" ref="DV45:DV50" si="119">WEEKDAY(DU45,1)</f>
        <v>4</v>
      </c>
      <c r="DW45" s="144"/>
      <c r="DX45" s="152"/>
      <c r="DY45" s="152"/>
      <c r="DZ45" s="152"/>
      <c r="EA45" s="144"/>
      <c r="EB45" s="144"/>
      <c r="EC45" s="152"/>
      <c r="ED45" s="144"/>
      <c r="EE45" s="622"/>
      <c r="EF45" s="622"/>
      <c r="EG45" s="622"/>
      <c r="EH45" s="622"/>
    </row>
    <row r="46" spans="1:138" hidden="1">
      <c r="A46" s="152"/>
      <c r="B46" s="152"/>
      <c r="C46" s="152"/>
      <c r="D46" s="144"/>
      <c r="E46" s="144"/>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246"/>
      <c r="AF46" s="246"/>
      <c r="AG46" s="159"/>
      <c r="AH46" s="160"/>
      <c r="AI46" s="160"/>
      <c r="AJ46" s="159"/>
      <c r="AK46" s="160"/>
      <c r="AL46" s="161"/>
      <c r="AM46" s="161"/>
      <c r="AN46" s="161"/>
      <c r="AO46" s="161"/>
      <c r="AP46" s="161"/>
      <c r="AQ46" s="161"/>
      <c r="AR46" s="161"/>
      <c r="AS46" s="161"/>
      <c r="AT46" s="161"/>
      <c r="AU46" s="161"/>
      <c r="AV46" s="161"/>
      <c r="AW46" s="161"/>
      <c r="AX46" s="161"/>
      <c r="AY46" s="161"/>
      <c r="AZ46" s="161"/>
      <c r="BA46" s="144"/>
      <c r="BB46" s="144"/>
      <c r="BC46" s="144"/>
      <c r="BD46" s="144"/>
      <c r="BE46" s="144"/>
      <c r="BF46" s="144"/>
      <c r="BG46" s="144"/>
      <c r="BH46" s="144"/>
      <c r="BI46" s="144"/>
      <c r="BJ46" s="144"/>
      <c r="BK46" s="144"/>
      <c r="BL46" s="144"/>
      <c r="BM46" s="144"/>
      <c r="BN46" s="144"/>
      <c r="BO46" s="144"/>
      <c r="BP46" s="144"/>
      <c r="BQ46" s="144"/>
      <c r="BR46" s="144"/>
      <c r="BS46" s="144"/>
      <c r="BT46" s="144"/>
      <c r="BU46" s="144"/>
      <c r="BV46" s="144"/>
      <c r="BW46" s="144"/>
      <c r="BX46" s="144"/>
      <c r="BY46" s="144"/>
      <c r="BZ46" s="144"/>
      <c r="CA46" s="144"/>
      <c r="CB46" s="144"/>
      <c r="CC46" s="144"/>
      <c r="CD46" s="144"/>
      <c r="CE46" s="144"/>
      <c r="CF46" s="144"/>
      <c r="CG46" s="144"/>
      <c r="CH46" s="144"/>
      <c r="CI46" s="144"/>
      <c r="CJ46" s="144"/>
      <c r="CK46" s="144"/>
      <c r="CL46" s="144"/>
      <c r="CM46" s="144"/>
      <c r="CN46" s="144"/>
      <c r="CO46" s="144"/>
      <c r="CP46" s="144"/>
      <c r="CQ46" s="144"/>
      <c r="CR46" s="144"/>
      <c r="CS46" s="144"/>
      <c r="CT46" s="144"/>
      <c r="CU46" s="144"/>
      <c r="CV46" s="144"/>
      <c r="CW46" s="144"/>
      <c r="CX46" s="144"/>
      <c r="CY46" s="144"/>
      <c r="CZ46" s="144"/>
      <c r="DA46" s="144"/>
      <c r="DB46" s="144"/>
      <c r="DC46" s="144"/>
      <c r="DD46" s="144"/>
      <c r="DE46" s="144"/>
      <c r="DF46" s="144"/>
      <c r="DG46" s="236"/>
      <c r="DH46" s="337"/>
      <c r="DI46" s="145"/>
      <c r="DJ46" s="145"/>
      <c r="DK46" s="144"/>
      <c r="DL46" s="144"/>
      <c r="DM46" s="144"/>
      <c r="DN46" s="144"/>
      <c r="DO46" s="144"/>
      <c r="DP46" s="144"/>
      <c r="DQ46" s="144"/>
      <c r="DR46" s="117"/>
      <c r="DS46" s="151"/>
      <c r="DT46" s="58">
        <v>10</v>
      </c>
      <c r="DU46" s="120">
        <f t="shared" si="118"/>
        <v>44175</v>
      </c>
      <c r="DV46" s="51">
        <f t="shared" si="119"/>
        <v>5</v>
      </c>
      <c r="DW46" s="144"/>
      <c r="DX46" s="152"/>
      <c r="DY46" s="152"/>
      <c r="DZ46" s="152"/>
      <c r="EA46" s="144"/>
      <c r="EB46" s="144"/>
      <c r="EC46" s="152"/>
      <c r="ED46" s="144"/>
      <c r="EE46" s="622"/>
      <c r="EF46" s="622"/>
      <c r="EG46" s="622"/>
      <c r="EH46" s="622"/>
    </row>
    <row r="47" spans="1:138" hidden="1">
      <c r="A47" s="144"/>
      <c r="B47" s="152"/>
      <c r="C47" s="152"/>
      <c r="D47" s="144"/>
      <c r="E47" s="144"/>
      <c r="F47" s="159"/>
      <c r="G47" s="159"/>
      <c r="H47" s="159"/>
      <c r="I47" s="159"/>
      <c r="J47" s="159"/>
      <c r="K47" s="159"/>
      <c r="L47" s="160"/>
      <c r="M47" s="159"/>
      <c r="N47" s="160"/>
      <c r="O47" s="159"/>
      <c r="P47" s="159"/>
      <c r="Q47" s="159"/>
      <c r="R47" s="159"/>
      <c r="S47" s="159"/>
      <c r="T47" s="159"/>
      <c r="U47" s="159"/>
      <c r="V47" s="159"/>
      <c r="W47" s="159"/>
      <c r="X47" s="159"/>
      <c r="Y47" s="159"/>
      <c r="Z47" s="159"/>
      <c r="AA47" s="159"/>
      <c r="AB47" s="159"/>
      <c r="AC47" s="159"/>
      <c r="AD47" s="159"/>
      <c r="AE47" s="246"/>
      <c r="AF47" s="246"/>
      <c r="AG47" s="159"/>
      <c r="AH47" s="160"/>
      <c r="AI47" s="160"/>
      <c r="AJ47" s="159"/>
      <c r="AK47" s="160"/>
      <c r="AL47" s="161"/>
      <c r="AM47" s="161"/>
      <c r="AN47" s="161"/>
      <c r="AO47" s="161"/>
      <c r="AP47" s="161"/>
      <c r="AQ47" s="161"/>
      <c r="AR47" s="161"/>
      <c r="AS47" s="161"/>
      <c r="AT47" s="161"/>
      <c r="AU47" s="161"/>
      <c r="AV47" s="161"/>
      <c r="AW47" s="161"/>
      <c r="AX47" s="161"/>
      <c r="AY47" s="161"/>
      <c r="AZ47" s="161"/>
      <c r="BA47" s="144"/>
      <c r="BB47" s="144"/>
      <c r="BC47" s="144"/>
      <c r="BD47" s="144"/>
      <c r="BE47" s="144"/>
      <c r="BF47" s="144"/>
      <c r="BG47" s="144"/>
      <c r="BH47" s="144"/>
      <c r="BI47" s="144"/>
      <c r="BJ47" s="144"/>
      <c r="BK47" s="144"/>
      <c r="BL47" s="144"/>
      <c r="BM47" s="144"/>
      <c r="BN47" s="144"/>
      <c r="BO47" s="144"/>
      <c r="BP47" s="144"/>
      <c r="BQ47" s="144"/>
      <c r="BR47" s="144"/>
      <c r="BS47" s="144"/>
      <c r="BT47" s="144"/>
      <c r="BU47" s="144"/>
      <c r="BV47" s="144"/>
      <c r="BW47" s="144"/>
      <c r="BX47" s="144"/>
      <c r="BY47" s="144"/>
      <c r="BZ47" s="144"/>
      <c r="CA47" s="144"/>
      <c r="CB47" s="144"/>
      <c r="CC47" s="144"/>
      <c r="CD47" s="144"/>
      <c r="CE47" s="144"/>
      <c r="CF47" s="144"/>
      <c r="CG47" s="144"/>
      <c r="CH47" s="144"/>
      <c r="CI47" s="144"/>
      <c r="CJ47" s="144"/>
      <c r="CK47" s="144"/>
      <c r="CL47" s="144"/>
      <c r="CM47" s="144"/>
      <c r="CN47" s="144"/>
      <c r="CO47" s="144"/>
      <c r="CP47" s="144"/>
      <c r="CQ47" s="144"/>
      <c r="CR47" s="144"/>
      <c r="CS47" s="144"/>
      <c r="CT47" s="144"/>
      <c r="CU47" s="144"/>
      <c r="CV47" s="144"/>
      <c r="CW47" s="144"/>
      <c r="CX47" s="144"/>
      <c r="CY47" s="144"/>
      <c r="CZ47" s="144"/>
      <c r="DA47" s="144"/>
      <c r="DB47" s="144"/>
      <c r="DC47" s="144"/>
      <c r="DD47" s="144"/>
      <c r="DE47" s="144"/>
      <c r="DF47" s="144"/>
      <c r="DG47" s="236"/>
      <c r="DH47" s="236"/>
      <c r="DI47" s="145"/>
      <c r="DJ47" s="145"/>
      <c r="DK47" s="144"/>
      <c r="DL47" s="651" t="s">
        <v>632</v>
      </c>
      <c r="DM47" s="627"/>
      <c r="DN47" s="627"/>
      <c r="DO47" s="627"/>
      <c r="DP47" s="627"/>
      <c r="DQ47" s="627"/>
      <c r="DR47" s="117"/>
      <c r="DS47" s="151"/>
      <c r="DT47" s="58">
        <v>11</v>
      </c>
      <c r="DU47" s="120">
        <f t="shared" si="118"/>
        <v>44176</v>
      </c>
      <c r="DV47" s="51">
        <f t="shared" si="119"/>
        <v>6</v>
      </c>
      <c r="DW47" s="144"/>
      <c r="DX47" s="152"/>
      <c r="DY47" s="152"/>
      <c r="DZ47" s="152"/>
      <c r="EA47" s="144"/>
      <c r="EB47" s="144"/>
      <c r="EC47" s="152"/>
      <c r="ED47" s="144"/>
      <c r="EE47" s="622"/>
      <c r="EF47" s="622"/>
      <c r="EG47" s="622"/>
      <c r="EH47" s="622"/>
    </row>
    <row r="48" spans="1:138" hidden="1">
      <c r="A48" s="144"/>
      <c r="B48" s="152"/>
      <c r="C48" s="152"/>
      <c r="D48" s="144"/>
      <c r="E48" s="144"/>
      <c r="F48" s="159"/>
      <c r="G48" s="159"/>
      <c r="H48" s="159"/>
      <c r="I48" s="159"/>
      <c r="J48" s="159"/>
      <c r="K48" s="159"/>
      <c r="L48" s="160"/>
      <c r="M48" s="159"/>
      <c r="N48" s="160"/>
      <c r="O48" s="159"/>
      <c r="P48" s="159"/>
      <c r="Q48" s="159"/>
      <c r="R48" s="159"/>
      <c r="S48" s="159"/>
      <c r="T48" s="159"/>
      <c r="U48" s="159"/>
      <c r="V48" s="159"/>
      <c r="W48" s="159"/>
      <c r="X48" s="159"/>
      <c r="Y48" s="159"/>
      <c r="Z48" s="159"/>
      <c r="AA48" s="159"/>
      <c r="AB48" s="159"/>
      <c r="AC48" s="159"/>
      <c r="AD48" s="159"/>
      <c r="AE48" s="246"/>
      <c r="AF48" s="246"/>
      <c r="AG48" s="159"/>
      <c r="AH48" s="160"/>
      <c r="AI48" s="160"/>
      <c r="AJ48" s="159"/>
      <c r="AK48" s="160"/>
      <c r="AL48" s="161"/>
      <c r="AM48" s="161"/>
      <c r="AN48" s="161"/>
      <c r="AO48" s="161"/>
      <c r="AP48" s="161"/>
      <c r="AQ48" s="161"/>
      <c r="AR48" s="161"/>
      <c r="AS48" s="161"/>
      <c r="AT48" s="161"/>
      <c r="AU48" s="161"/>
      <c r="AV48" s="161"/>
      <c r="AW48" s="161"/>
      <c r="AX48" s="161"/>
      <c r="AY48" s="161"/>
      <c r="AZ48" s="161"/>
      <c r="BA48" s="144"/>
      <c r="BB48" s="144"/>
      <c r="BC48" s="144"/>
      <c r="BD48" s="144"/>
      <c r="BE48" s="144"/>
      <c r="BF48" s="144"/>
      <c r="BG48" s="144"/>
      <c r="BH48" s="144"/>
      <c r="BI48" s="144"/>
      <c r="BJ48" s="144"/>
      <c r="BK48" s="144"/>
      <c r="BL48" s="144"/>
      <c r="BM48" s="144"/>
      <c r="BN48" s="144"/>
      <c r="BO48" s="144"/>
      <c r="BP48" s="144"/>
      <c r="BQ48" s="144"/>
      <c r="BR48" s="144"/>
      <c r="BS48" s="144"/>
      <c r="BT48" s="144"/>
      <c r="BU48" s="144"/>
      <c r="BV48" s="144"/>
      <c r="BW48" s="144"/>
      <c r="BX48" s="144"/>
      <c r="BY48" s="144"/>
      <c r="BZ48" s="144"/>
      <c r="CA48" s="144"/>
      <c r="CB48" s="144"/>
      <c r="CC48" s="144"/>
      <c r="CD48" s="144"/>
      <c r="CE48" s="144"/>
      <c r="CF48" s="144"/>
      <c r="CG48" s="144"/>
      <c r="CH48" s="144"/>
      <c r="CI48" s="144"/>
      <c r="CJ48" s="144"/>
      <c r="CK48" s="144"/>
      <c r="CL48" s="144"/>
      <c r="CM48" s="144"/>
      <c r="CN48" s="144"/>
      <c r="CO48" s="144"/>
      <c r="CP48" s="144"/>
      <c r="CQ48" s="144"/>
      <c r="CR48" s="144"/>
      <c r="CS48" s="144"/>
      <c r="CT48" s="144"/>
      <c r="CU48" s="144"/>
      <c r="CV48" s="144"/>
      <c r="CW48" s="144"/>
      <c r="CX48" s="144"/>
      <c r="CY48" s="144"/>
      <c r="CZ48" s="144"/>
      <c r="DA48" s="144"/>
      <c r="DB48" s="144"/>
      <c r="DC48" s="144"/>
      <c r="DD48" s="144"/>
      <c r="DE48" s="144"/>
      <c r="DF48" s="144"/>
      <c r="DG48" s="145"/>
      <c r="DH48" s="236"/>
      <c r="DI48" s="145"/>
      <c r="DJ48" s="145"/>
      <c r="DK48" s="144"/>
      <c r="DL48" s="656" t="s">
        <v>633</v>
      </c>
      <c r="DM48" s="627"/>
      <c r="DN48" s="627"/>
      <c r="DO48" s="627"/>
      <c r="DP48" s="627"/>
      <c r="DQ48" s="627"/>
      <c r="DR48" s="117"/>
      <c r="DS48" s="151"/>
      <c r="DT48" s="58">
        <v>12</v>
      </c>
      <c r="DU48" s="120">
        <f t="shared" si="118"/>
        <v>44177</v>
      </c>
      <c r="DV48" s="51">
        <f t="shared" si="119"/>
        <v>7</v>
      </c>
      <c r="DW48" s="121" t="s">
        <v>584</v>
      </c>
      <c r="DX48" s="152"/>
      <c r="DY48" s="152"/>
      <c r="DZ48" s="152"/>
      <c r="EA48" s="144"/>
      <c r="EB48" s="144"/>
      <c r="EC48" s="152"/>
      <c r="ED48" s="144"/>
      <c r="EE48" s="622"/>
      <c r="EF48" s="622"/>
      <c r="EG48" s="622"/>
      <c r="EH48" s="622"/>
    </row>
    <row r="49" spans="1:138" hidden="1">
      <c r="A49" s="144"/>
      <c r="B49" s="152"/>
      <c r="C49" s="152"/>
      <c r="D49" s="144"/>
      <c r="E49" s="144"/>
      <c r="F49" s="159"/>
      <c r="G49" s="159"/>
      <c r="H49" s="159"/>
      <c r="I49" s="159"/>
      <c r="J49" s="159"/>
      <c r="K49" s="159"/>
      <c r="L49" s="159"/>
      <c r="M49" s="159"/>
      <c r="N49" s="160"/>
      <c r="O49" s="159"/>
      <c r="P49" s="159"/>
      <c r="Q49" s="159"/>
      <c r="R49" s="159"/>
      <c r="S49" s="159"/>
      <c r="T49" s="159"/>
      <c r="U49" s="159"/>
      <c r="V49" s="159"/>
      <c r="W49" s="159"/>
      <c r="X49" s="159"/>
      <c r="Y49" s="159"/>
      <c r="Z49" s="159"/>
      <c r="AA49" s="159"/>
      <c r="AB49" s="159"/>
      <c r="AC49" s="159"/>
      <c r="AD49" s="159"/>
      <c r="AE49" s="246"/>
      <c r="AF49" s="246"/>
      <c r="AG49" s="159"/>
      <c r="AH49" s="160"/>
      <c r="AI49" s="160"/>
      <c r="AJ49" s="159"/>
      <c r="AK49" s="160"/>
      <c r="AL49" s="161"/>
      <c r="AM49" s="161"/>
      <c r="AN49" s="161"/>
      <c r="AO49" s="161"/>
      <c r="AP49" s="161"/>
      <c r="AQ49" s="161"/>
      <c r="AR49" s="161"/>
      <c r="AS49" s="161"/>
      <c r="AT49" s="161"/>
      <c r="AU49" s="161"/>
      <c r="AV49" s="161"/>
      <c r="AW49" s="161"/>
      <c r="AX49" s="161"/>
      <c r="AY49" s="161"/>
      <c r="AZ49" s="161"/>
      <c r="BA49" s="144"/>
      <c r="BB49" s="144"/>
      <c r="BC49" s="144"/>
      <c r="BD49" s="144"/>
      <c r="BE49" s="144"/>
      <c r="BF49" s="144"/>
      <c r="BG49" s="144"/>
      <c r="BH49" s="144"/>
      <c r="BI49" s="144"/>
      <c r="BJ49" s="144"/>
      <c r="BK49" s="144"/>
      <c r="BL49" s="144"/>
      <c r="BM49" s="144"/>
      <c r="BN49" s="144"/>
      <c r="BO49" s="144"/>
      <c r="BP49" s="144"/>
      <c r="BQ49" s="144"/>
      <c r="BR49" s="144"/>
      <c r="BS49" s="144"/>
      <c r="BT49" s="144"/>
      <c r="BU49" s="144"/>
      <c r="BV49" s="144"/>
      <c r="BW49" s="144"/>
      <c r="BX49" s="144"/>
      <c r="BY49" s="144"/>
      <c r="BZ49" s="144"/>
      <c r="CA49" s="144"/>
      <c r="CB49" s="144"/>
      <c r="CC49" s="144"/>
      <c r="CD49" s="144"/>
      <c r="CE49" s="144"/>
      <c r="CF49" s="144"/>
      <c r="CG49" s="144"/>
      <c r="CH49" s="144"/>
      <c r="CI49" s="144"/>
      <c r="CJ49" s="144"/>
      <c r="CK49" s="144"/>
      <c r="CL49" s="144"/>
      <c r="CM49" s="144"/>
      <c r="CN49" s="144"/>
      <c r="CO49" s="144"/>
      <c r="CP49" s="144"/>
      <c r="CQ49" s="144"/>
      <c r="CR49" s="144"/>
      <c r="CS49" s="144"/>
      <c r="CT49" s="144"/>
      <c r="CU49" s="144"/>
      <c r="CV49" s="144"/>
      <c r="CW49" s="144"/>
      <c r="CX49" s="144"/>
      <c r="CY49" s="144"/>
      <c r="CZ49" s="144"/>
      <c r="DA49" s="144"/>
      <c r="DB49" s="144"/>
      <c r="DC49" s="144"/>
      <c r="DD49" s="144"/>
      <c r="DE49" s="144"/>
      <c r="DF49" s="144"/>
      <c r="DG49" s="145"/>
      <c r="DH49" s="236"/>
      <c r="DI49" s="145"/>
      <c r="DJ49" s="145"/>
      <c r="DK49" s="144"/>
      <c r="DL49" s="651" t="s">
        <v>634</v>
      </c>
      <c r="DM49" s="627"/>
      <c r="DN49" s="627"/>
      <c r="DO49" s="627"/>
      <c r="DP49" s="627"/>
      <c r="DQ49" s="627"/>
      <c r="DR49" s="117"/>
      <c r="DS49" s="151"/>
      <c r="DT49" s="58">
        <v>13</v>
      </c>
      <c r="DU49" s="120">
        <f t="shared" si="118"/>
        <v>44178</v>
      </c>
      <c r="DV49" s="51">
        <f t="shared" si="119"/>
        <v>1</v>
      </c>
      <c r="DW49" s="122" t="s">
        <v>586</v>
      </c>
      <c r="DX49" s="152"/>
      <c r="DY49" s="152"/>
      <c r="DZ49" s="152"/>
      <c r="EA49" s="144"/>
      <c r="EB49" s="144"/>
      <c r="EC49" s="152"/>
      <c r="ED49" s="144"/>
      <c r="EE49" s="622"/>
      <c r="EF49" s="622"/>
      <c r="EG49" s="622"/>
      <c r="EH49" s="622"/>
    </row>
    <row r="50" spans="1:138" hidden="1">
      <c r="A50" s="144"/>
      <c r="B50" s="152"/>
      <c r="C50" s="152"/>
      <c r="D50" s="144"/>
      <c r="E50" s="144"/>
      <c r="F50" s="159"/>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246"/>
      <c r="AF50" s="246"/>
      <c r="AG50" s="159"/>
      <c r="AH50" s="160"/>
      <c r="AI50" s="160"/>
      <c r="AJ50" s="159"/>
      <c r="AK50" s="160"/>
      <c r="AL50" s="161"/>
      <c r="AM50" s="161"/>
      <c r="AN50" s="161"/>
      <c r="AO50" s="161"/>
      <c r="AP50" s="161"/>
      <c r="AQ50" s="161"/>
      <c r="AR50" s="161"/>
      <c r="AS50" s="161"/>
      <c r="AT50" s="161"/>
      <c r="AU50" s="161"/>
      <c r="AV50" s="161"/>
      <c r="AW50" s="161"/>
      <c r="AX50" s="161"/>
      <c r="AY50" s="161"/>
      <c r="AZ50" s="161"/>
      <c r="BA50" s="144"/>
      <c r="BB50" s="144"/>
      <c r="BC50" s="144"/>
      <c r="BD50" s="144"/>
      <c r="BE50" s="144"/>
      <c r="BF50" s="144"/>
      <c r="BG50" s="144"/>
      <c r="BH50" s="144"/>
      <c r="BI50" s="144"/>
      <c r="BJ50" s="144"/>
      <c r="BK50" s="144"/>
      <c r="BL50" s="144"/>
      <c r="BM50" s="144"/>
      <c r="BN50" s="144"/>
      <c r="BO50" s="144"/>
      <c r="BP50" s="144"/>
      <c r="BQ50" s="144"/>
      <c r="BR50" s="144"/>
      <c r="BS50" s="144"/>
      <c r="BT50" s="144"/>
      <c r="BU50" s="144"/>
      <c r="BV50" s="144"/>
      <c r="BW50" s="144"/>
      <c r="BX50" s="144"/>
      <c r="BY50" s="144"/>
      <c r="BZ50" s="144"/>
      <c r="CA50" s="144"/>
      <c r="CB50" s="144"/>
      <c r="CC50" s="144"/>
      <c r="CD50" s="144"/>
      <c r="CE50" s="144"/>
      <c r="CF50" s="144"/>
      <c r="CG50" s="144"/>
      <c r="CH50" s="144"/>
      <c r="CI50" s="144"/>
      <c r="CJ50" s="144"/>
      <c r="CK50" s="144"/>
      <c r="CL50" s="144"/>
      <c r="CM50" s="144"/>
      <c r="CN50" s="144"/>
      <c r="CO50" s="144"/>
      <c r="CP50" s="144"/>
      <c r="CQ50" s="144"/>
      <c r="CR50" s="144"/>
      <c r="CS50" s="144"/>
      <c r="CT50" s="144"/>
      <c r="CU50" s="144"/>
      <c r="CV50" s="144"/>
      <c r="CW50" s="144"/>
      <c r="CX50" s="144"/>
      <c r="CY50" s="144"/>
      <c r="CZ50" s="144"/>
      <c r="DA50" s="144"/>
      <c r="DB50" s="144"/>
      <c r="DC50" s="144"/>
      <c r="DD50" s="144"/>
      <c r="DE50" s="144"/>
      <c r="DF50" s="144"/>
      <c r="DG50" s="145"/>
      <c r="DH50" s="236"/>
      <c r="DI50" s="145"/>
      <c r="DJ50" s="145"/>
      <c r="DK50" s="144"/>
      <c r="DL50" s="656" t="s">
        <v>635</v>
      </c>
      <c r="DM50" s="627"/>
      <c r="DN50" s="627"/>
      <c r="DO50" s="627"/>
      <c r="DP50" s="627"/>
      <c r="DQ50" s="627"/>
      <c r="DR50" s="117"/>
      <c r="DS50" s="151"/>
      <c r="DT50" s="58">
        <v>14</v>
      </c>
      <c r="DU50" s="120">
        <f t="shared" si="118"/>
        <v>44179</v>
      </c>
      <c r="DV50" s="51">
        <f t="shared" si="119"/>
        <v>2</v>
      </c>
      <c r="DW50" s="51">
        <f>MATCH(2,DV44:DV50,0)</f>
        <v>7</v>
      </c>
      <c r="DX50" s="152"/>
      <c r="DY50" s="152"/>
      <c r="DZ50" s="152"/>
      <c r="EA50" s="144"/>
      <c r="EB50" s="144"/>
      <c r="EC50" s="152"/>
      <c r="ED50" s="144"/>
      <c r="EE50" s="622"/>
      <c r="EF50" s="622"/>
      <c r="EG50" s="622"/>
      <c r="EH50" s="622"/>
    </row>
    <row r="51" spans="1:138" hidden="1">
      <c r="A51" s="144"/>
      <c r="B51" s="152"/>
      <c r="C51" s="152"/>
      <c r="D51" s="144"/>
      <c r="E51" s="144"/>
      <c r="F51" s="159"/>
      <c r="G51" s="159"/>
      <c r="H51" s="159"/>
      <c r="I51" s="159"/>
      <c r="J51" s="159"/>
      <c r="K51" s="159"/>
      <c r="L51" s="159"/>
      <c r="M51" s="159"/>
      <c r="N51" s="159"/>
      <c r="O51" s="159"/>
      <c r="P51" s="159"/>
      <c r="Q51" s="159"/>
      <c r="R51" s="159"/>
      <c r="S51" s="159"/>
      <c r="T51" s="159"/>
      <c r="U51" s="159"/>
      <c r="V51" s="159"/>
      <c r="W51" s="159"/>
      <c r="X51" s="159"/>
      <c r="Y51" s="159"/>
      <c r="Z51" s="159"/>
      <c r="AA51" s="159"/>
      <c r="AB51" s="159"/>
      <c r="AC51" s="159"/>
      <c r="AD51" s="159"/>
      <c r="AE51" s="246"/>
      <c r="AF51" s="246"/>
      <c r="AG51" s="159"/>
      <c r="AH51" s="160"/>
      <c r="AI51" s="160"/>
      <c r="AJ51" s="159"/>
      <c r="AK51" s="160"/>
      <c r="AL51" s="161"/>
      <c r="AM51" s="161"/>
      <c r="AN51" s="161"/>
      <c r="AO51" s="161"/>
      <c r="AP51" s="161"/>
      <c r="AQ51" s="161"/>
      <c r="AR51" s="161"/>
      <c r="AS51" s="161"/>
      <c r="AT51" s="161"/>
      <c r="AU51" s="161"/>
      <c r="AV51" s="161"/>
      <c r="AW51" s="161"/>
      <c r="AX51" s="161"/>
      <c r="AY51" s="161"/>
      <c r="AZ51" s="161"/>
      <c r="BA51" s="144"/>
      <c r="BB51" s="144"/>
      <c r="BC51" s="144"/>
      <c r="BD51" s="144"/>
      <c r="BE51" s="144"/>
      <c r="BF51" s="144"/>
      <c r="BG51" s="144"/>
      <c r="BH51" s="144"/>
      <c r="BI51" s="144"/>
      <c r="BJ51" s="144"/>
      <c r="BK51" s="144"/>
      <c r="BL51" s="144"/>
      <c r="BM51" s="144"/>
      <c r="BN51" s="144"/>
      <c r="BO51" s="144"/>
      <c r="BP51" s="144"/>
      <c r="BQ51" s="144"/>
      <c r="BR51" s="144"/>
      <c r="BS51" s="144"/>
      <c r="BT51" s="144"/>
      <c r="BU51" s="144"/>
      <c r="BV51" s="144"/>
      <c r="BW51" s="144"/>
      <c r="BX51" s="144"/>
      <c r="BY51" s="144"/>
      <c r="BZ51" s="144"/>
      <c r="CA51" s="144"/>
      <c r="CB51" s="144"/>
      <c r="CC51" s="144"/>
      <c r="CD51" s="144"/>
      <c r="CE51" s="144"/>
      <c r="CF51" s="144"/>
      <c r="CG51" s="144"/>
      <c r="CH51" s="144"/>
      <c r="CI51" s="144"/>
      <c r="CJ51" s="144"/>
      <c r="CK51" s="144"/>
      <c r="CL51" s="144"/>
      <c r="CM51" s="144"/>
      <c r="CN51" s="144"/>
      <c r="CO51" s="144"/>
      <c r="CP51" s="144"/>
      <c r="CQ51" s="144"/>
      <c r="CR51" s="144"/>
      <c r="CS51" s="144"/>
      <c r="CT51" s="144"/>
      <c r="CU51" s="144"/>
      <c r="CV51" s="144"/>
      <c r="CW51" s="144"/>
      <c r="CX51" s="144"/>
      <c r="CY51" s="144"/>
      <c r="CZ51" s="144"/>
      <c r="DA51" s="144"/>
      <c r="DB51" s="144"/>
      <c r="DC51" s="144"/>
      <c r="DD51" s="144"/>
      <c r="DE51" s="144"/>
      <c r="DF51" s="144"/>
      <c r="DG51" s="145"/>
      <c r="DH51" s="236"/>
      <c r="DI51" s="145"/>
      <c r="DJ51" s="145"/>
      <c r="DK51" s="144"/>
      <c r="DL51" s="144"/>
      <c r="DM51" s="144"/>
      <c r="DN51" s="144"/>
      <c r="DO51" s="144"/>
      <c r="DP51" s="144"/>
      <c r="DQ51" s="144"/>
      <c r="DR51" s="117"/>
      <c r="DS51" s="151"/>
      <c r="DT51" s="165" t="s">
        <v>442</v>
      </c>
      <c r="DU51" s="167"/>
      <c r="DV51" s="152"/>
      <c r="DW51" s="144"/>
      <c r="DX51" s="152"/>
      <c r="DY51" s="152"/>
      <c r="DZ51" s="152"/>
      <c r="EA51" s="144"/>
      <c r="EB51" s="144"/>
      <c r="EC51" s="152"/>
      <c r="ED51" s="144"/>
      <c r="EE51" s="622"/>
      <c r="EF51" s="622"/>
      <c r="EG51" s="622"/>
      <c r="EH51" s="622"/>
    </row>
    <row r="52" spans="1:138" hidden="1">
      <c r="A52" s="144"/>
      <c r="B52" s="152"/>
      <c r="C52" s="152"/>
      <c r="D52" s="144"/>
      <c r="E52" s="144"/>
      <c r="F52" s="159"/>
      <c r="G52" s="159"/>
      <c r="H52" s="159"/>
      <c r="I52" s="159"/>
      <c r="J52" s="159"/>
      <c r="K52" s="159"/>
      <c r="L52" s="159"/>
      <c r="M52" s="159"/>
      <c r="N52" s="159"/>
      <c r="O52" s="159"/>
      <c r="P52" s="159"/>
      <c r="Q52" s="159"/>
      <c r="R52" s="159"/>
      <c r="S52" s="159"/>
      <c r="T52" s="159"/>
      <c r="U52" s="159"/>
      <c r="V52" s="159"/>
      <c r="W52" s="159"/>
      <c r="X52" s="159"/>
      <c r="Y52" s="159"/>
      <c r="Z52" s="159"/>
      <c r="AA52" s="159"/>
      <c r="AB52" s="159"/>
      <c r="AC52" s="159"/>
      <c r="AD52" s="159"/>
      <c r="AE52" s="246"/>
      <c r="AF52" s="246"/>
      <c r="AG52" s="159"/>
      <c r="AH52" s="160"/>
      <c r="AI52" s="160"/>
      <c r="AJ52" s="159"/>
      <c r="AK52" s="160"/>
      <c r="AL52" s="161"/>
      <c r="AM52" s="161"/>
      <c r="AN52" s="161"/>
      <c r="AO52" s="161"/>
      <c r="AP52" s="161"/>
      <c r="AQ52" s="161"/>
      <c r="AR52" s="161"/>
      <c r="AS52" s="161"/>
      <c r="AT52" s="161"/>
      <c r="AU52" s="161"/>
      <c r="AV52" s="161"/>
      <c r="AW52" s="161"/>
      <c r="AX52" s="161"/>
      <c r="AY52" s="161"/>
      <c r="AZ52" s="161"/>
      <c r="BA52" s="144"/>
      <c r="BB52" s="144"/>
      <c r="BC52" s="144"/>
      <c r="BD52" s="144"/>
      <c r="BE52" s="144"/>
      <c r="BF52" s="144"/>
      <c r="BG52" s="144"/>
      <c r="BH52" s="144"/>
      <c r="BI52" s="144"/>
      <c r="BJ52" s="144"/>
      <c r="BK52" s="144"/>
      <c r="BL52" s="144"/>
      <c r="BM52" s="144"/>
      <c r="BN52" s="144"/>
      <c r="BO52" s="144"/>
      <c r="BP52" s="144"/>
      <c r="BQ52" s="144"/>
      <c r="BR52" s="144"/>
      <c r="BS52" s="144"/>
      <c r="BT52" s="144"/>
      <c r="BU52" s="144"/>
      <c r="BV52" s="144"/>
      <c r="BW52" s="144"/>
      <c r="BX52" s="144"/>
      <c r="BY52" s="144"/>
      <c r="BZ52" s="144"/>
      <c r="CA52" s="144"/>
      <c r="CB52" s="144"/>
      <c r="CC52" s="144"/>
      <c r="CD52" s="144"/>
      <c r="CE52" s="144"/>
      <c r="CF52" s="144"/>
      <c r="CG52" s="144"/>
      <c r="CH52" s="144"/>
      <c r="CI52" s="144"/>
      <c r="CJ52" s="144"/>
      <c r="CK52" s="144"/>
      <c r="CL52" s="144"/>
      <c r="CM52" s="144"/>
      <c r="CN52" s="144"/>
      <c r="CO52" s="144"/>
      <c r="CP52" s="144"/>
      <c r="CQ52" s="144"/>
      <c r="CR52" s="144"/>
      <c r="CS52" s="144"/>
      <c r="CT52" s="144"/>
      <c r="CU52" s="144"/>
      <c r="CV52" s="144"/>
      <c r="CW52" s="144"/>
      <c r="CX52" s="144"/>
      <c r="CY52" s="144"/>
      <c r="CZ52" s="144"/>
      <c r="DA52" s="144"/>
      <c r="DB52" s="144"/>
      <c r="DC52" s="144"/>
      <c r="DD52" s="144"/>
      <c r="DE52" s="144"/>
      <c r="DF52" s="144"/>
      <c r="DG52" s="145"/>
      <c r="DH52" s="145"/>
      <c r="DI52" s="145"/>
      <c r="DJ52" s="145"/>
      <c r="DK52" s="144"/>
      <c r="DL52" s="144"/>
      <c r="DM52" s="144"/>
      <c r="DN52" s="144"/>
      <c r="DO52" s="144"/>
      <c r="DP52" s="144"/>
      <c r="DQ52" s="144"/>
      <c r="DR52" s="117"/>
      <c r="DS52" s="164"/>
      <c r="DT52" s="166">
        <f>INDEX(DU44:DU50,DW50)</f>
        <v>44179</v>
      </c>
      <c r="DU52" s="168"/>
      <c r="DV52" s="152"/>
      <c r="DW52" s="144"/>
      <c r="DX52" s="152"/>
      <c r="DY52" s="152"/>
      <c r="DZ52" s="152"/>
      <c r="EA52" s="144"/>
      <c r="EB52" s="144"/>
      <c r="EC52" s="152"/>
      <c r="ED52" s="144"/>
      <c r="EE52" s="622"/>
      <c r="EF52" s="622"/>
      <c r="EG52" s="622"/>
      <c r="EH52" s="622"/>
    </row>
    <row r="53" spans="1:138" hidden="1">
      <c r="A53" s="144"/>
      <c r="B53" s="152"/>
      <c r="C53" s="152"/>
      <c r="D53" s="144"/>
      <c r="E53" s="144"/>
      <c r="F53" s="159"/>
      <c r="G53" s="159"/>
      <c r="H53" s="159"/>
      <c r="I53" s="159"/>
      <c r="J53" s="159"/>
      <c r="K53" s="159"/>
      <c r="L53" s="159"/>
      <c r="M53" s="159"/>
      <c r="N53" s="159"/>
      <c r="O53" s="159"/>
      <c r="P53" s="159"/>
      <c r="Q53" s="159"/>
      <c r="R53" s="159"/>
      <c r="S53" s="159"/>
      <c r="T53" s="159"/>
      <c r="U53" s="159"/>
      <c r="V53" s="159"/>
      <c r="W53" s="159"/>
      <c r="X53" s="159"/>
      <c r="Y53" s="159"/>
      <c r="Z53" s="159"/>
      <c r="AA53" s="159"/>
      <c r="AB53" s="159"/>
      <c r="AC53" s="159"/>
      <c r="AD53" s="159"/>
      <c r="AE53" s="246"/>
      <c r="AF53" s="246"/>
      <c r="AG53" s="159"/>
      <c r="AH53" s="160"/>
      <c r="AI53" s="160"/>
      <c r="AJ53" s="159"/>
      <c r="AK53" s="160"/>
      <c r="AL53" s="161"/>
      <c r="AM53" s="161"/>
      <c r="AN53" s="161"/>
      <c r="AO53" s="161"/>
      <c r="AP53" s="161"/>
      <c r="AQ53" s="161"/>
      <c r="AR53" s="161"/>
      <c r="AS53" s="161"/>
      <c r="AT53" s="161"/>
      <c r="AU53" s="161"/>
      <c r="AV53" s="161"/>
      <c r="AW53" s="161"/>
      <c r="AX53" s="161"/>
      <c r="AY53" s="161"/>
      <c r="AZ53" s="161"/>
      <c r="BA53" s="144"/>
      <c r="BB53" s="144"/>
      <c r="BC53" s="144"/>
      <c r="BD53" s="144"/>
      <c r="BE53" s="144"/>
      <c r="BF53" s="144"/>
      <c r="BG53" s="144"/>
      <c r="BH53" s="144"/>
      <c r="BI53" s="144"/>
      <c r="BJ53" s="144"/>
      <c r="BK53" s="144"/>
      <c r="BL53" s="144"/>
      <c r="BM53" s="144"/>
      <c r="BN53" s="144"/>
      <c r="BO53" s="144"/>
      <c r="BP53" s="144"/>
      <c r="BQ53" s="144"/>
      <c r="BR53" s="144"/>
      <c r="BS53" s="144"/>
      <c r="BT53" s="144"/>
      <c r="BU53" s="144"/>
      <c r="BV53" s="144"/>
      <c r="BW53" s="144"/>
      <c r="BX53" s="144"/>
      <c r="BY53" s="144"/>
      <c r="BZ53" s="144"/>
      <c r="CA53" s="144"/>
      <c r="CB53" s="144"/>
      <c r="CC53" s="144"/>
      <c r="CD53" s="144"/>
      <c r="CE53" s="144"/>
      <c r="CF53" s="144"/>
      <c r="CG53" s="144"/>
      <c r="CH53" s="144"/>
      <c r="CI53" s="144"/>
      <c r="CJ53" s="144"/>
      <c r="CK53" s="144"/>
      <c r="CL53" s="144"/>
      <c r="CM53" s="144"/>
      <c r="CN53" s="144"/>
      <c r="CO53" s="144"/>
      <c r="CP53" s="144"/>
      <c r="CQ53" s="144"/>
      <c r="CR53" s="144"/>
      <c r="CS53" s="144"/>
      <c r="CT53" s="144"/>
      <c r="CU53" s="144"/>
      <c r="CV53" s="144"/>
      <c r="CW53" s="144"/>
      <c r="CX53" s="144"/>
      <c r="CY53" s="144"/>
      <c r="CZ53" s="144"/>
      <c r="DA53" s="144"/>
      <c r="DB53" s="144"/>
      <c r="DC53" s="144"/>
      <c r="DD53" s="144"/>
      <c r="DE53" s="144"/>
      <c r="DF53" s="144"/>
      <c r="DG53" s="145"/>
      <c r="DH53" s="145"/>
      <c r="DI53" s="145"/>
      <c r="DJ53" s="145"/>
      <c r="DK53" s="144"/>
      <c r="DL53" s="144"/>
      <c r="DM53" s="144"/>
      <c r="DN53" s="144"/>
      <c r="DO53" s="144"/>
      <c r="DP53" s="144"/>
      <c r="DQ53" s="144"/>
      <c r="DR53" s="144"/>
      <c r="DS53" s="145"/>
      <c r="DT53" s="652" t="s">
        <v>636</v>
      </c>
      <c r="DU53" s="653"/>
      <c r="DV53" s="654"/>
      <c r="DW53" s="653"/>
      <c r="DX53" s="654"/>
      <c r="DY53" s="654"/>
      <c r="DZ53" s="654"/>
      <c r="EA53" s="653"/>
      <c r="EB53" s="144"/>
      <c r="EC53" s="152"/>
      <c r="ED53" s="144"/>
      <c r="EE53" s="622"/>
      <c r="EF53" s="622"/>
      <c r="EG53" s="622"/>
      <c r="EH53" s="622"/>
    </row>
    <row r="54" spans="1:138" ht="14.25" thickTop="1"/>
    <row r="55" spans="1:138">
      <c r="D55" s="136" t="s">
        <v>624</v>
      </c>
      <c r="E55" s="136" t="s">
        <v>637</v>
      </c>
      <c r="F55" s="136" t="s">
        <v>638</v>
      </c>
      <c r="H55" s="563" t="s">
        <v>639</v>
      </c>
    </row>
    <row r="56" spans="1:138">
      <c r="D56" s="365">
        <f>EA38</f>
        <v>20</v>
      </c>
      <c r="E56" s="170">
        <f>COUNT(D5:D35)</f>
        <v>15</v>
      </c>
      <c r="F56" s="171">
        <f>D56*TIMEVALUE("8:00")</f>
        <v>6.6666666666666661</v>
      </c>
      <c r="H56" s="563" t="s">
        <v>640</v>
      </c>
    </row>
    <row r="57" spans="1:138">
      <c r="D57" s="425"/>
      <c r="E57" s="210"/>
      <c r="F57" s="427"/>
    </row>
    <row r="58" spans="1:138">
      <c r="D58" s="136" t="s">
        <v>542</v>
      </c>
      <c r="E58" s="136" t="s">
        <v>641</v>
      </c>
      <c r="F58" s="426" t="s">
        <v>642</v>
      </c>
    </row>
    <row r="59" spans="1:138">
      <c r="D59" s="367">
        <f>R36</f>
        <v>0</v>
      </c>
      <c r="E59" s="367">
        <f>S36</f>
        <v>0</v>
      </c>
      <c r="F59" s="169">
        <f>D59+E59*0.5</f>
        <v>0</v>
      </c>
    </row>
    <row r="60" spans="1:138">
      <c r="D60" s="136" t="s">
        <v>643</v>
      </c>
      <c r="E60" s="136" t="s">
        <v>551</v>
      </c>
      <c r="F60" s="136" t="s">
        <v>644</v>
      </c>
    </row>
    <row r="61" spans="1:138">
      <c r="D61" s="366">
        <f>AC36</f>
        <v>0</v>
      </c>
      <c r="E61" s="366">
        <f>AA36</f>
        <v>0</v>
      </c>
      <c r="F61" s="366">
        <f>AB36</f>
        <v>0</v>
      </c>
    </row>
    <row r="62" spans="1:138">
      <c r="D62" s="136" t="s">
        <v>548</v>
      </c>
      <c r="E62" s="136" t="s">
        <v>645</v>
      </c>
      <c r="F62" s="136" t="s">
        <v>646</v>
      </c>
    </row>
    <row r="63" spans="1:138">
      <c r="D63" s="366">
        <f>X36</f>
        <v>0</v>
      </c>
      <c r="E63" s="366">
        <f>T36</f>
        <v>0</v>
      </c>
      <c r="F63" s="366">
        <f>U36</f>
        <v>0</v>
      </c>
    </row>
    <row r="64" spans="1:138">
      <c r="D64" s="136" t="s">
        <v>647</v>
      </c>
      <c r="E64" s="136" t="s">
        <v>549</v>
      </c>
      <c r="F64" s="195" t="s">
        <v>554</v>
      </c>
    </row>
    <row r="65" spans="1:8">
      <c r="D65" s="367">
        <f>EC36</f>
        <v>15</v>
      </c>
      <c r="E65" s="367">
        <f>Y36</f>
        <v>0</v>
      </c>
      <c r="F65" s="366">
        <f>AD36</f>
        <v>0</v>
      </c>
    </row>
    <row r="67" spans="1:8">
      <c r="A67" s="616"/>
      <c r="B67" s="688"/>
      <c r="C67" s="689"/>
      <c r="D67" s="690"/>
      <c r="E67" s="690"/>
      <c r="F67" s="691"/>
      <c r="H67" s="563"/>
    </row>
    <row r="68" spans="1:8">
      <c r="A68" s="617"/>
      <c r="B68" s="782" t="s">
        <v>625</v>
      </c>
      <c r="C68" s="782"/>
      <c r="D68" s="782"/>
      <c r="E68" s="782"/>
      <c r="F68" s="619"/>
      <c r="H68" s="563"/>
    </row>
    <row r="69" spans="1:8">
      <c r="A69" s="620"/>
      <c r="B69" s="618"/>
      <c r="C69" s="692"/>
      <c r="D69" s="693"/>
      <c r="E69" s="693"/>
      <c r="F69" s="694"/>
    </row>
    <row r="70" spans="1:8">
      <c r="A70" s="563" t="s">
        <v>648</v>
      </c>
      <c r="B70" s="695"/>
    </row>
    <row r="71" spans="1:8">
      <c r="A71" s="624" t="s">
        <v>649</v>
      </c>
      <c r="B71" s="621"/>
    </row>
    <row r="72" spans="1:8">
      <c r="A72" s="621"/>
      <c r="B72" s="621"/>
    </row>
    <row r="73" spans="1:8">
      <c r="A73" s="621"/>
      <c r="B73" s="621"/>
    </row>
  </sheetData>
  <sheetProtection algorithmName="SHA-512" hashValue="a4zCl97I4NPvPhTSBt7oaaP97B5JNDbAK4WyLu0ksF4uE43o6F+M3iRNLnZQOPM3dROjZe+NdkruORhAl3dCdw==" saltValue="WCuZ7yBqbnsHLLeOAAiAWA==" spinCount="100000" sheet="1" objects="1" scenarios="1"/>
  <mergeCells count="31">
    <mergeCell ref="CP3:CP4"/>
    <mergeCell ref="CO3:CO4"/>
    <mergeCell ref="AG3:AG4"/>
    <mergeCell ref="AH3:AH4"/>
    <mergeCell ref="BZ3:BZ4"/>
    <mergeCell ref="CA3:CA4"/>
    <mergeCell ref="BK3:BK4"/>
    <mergeCell ref="BL3:BL4"/>
    <mergeCell ref="DD1:DE2"/>
    <mergeCell ref="CO1:CP2"/>
    <mergeCell ref="BZ1:CA2"/>
    <mergeCell ref="C2:D2"/>
    <mergeCell ref="C1:D1"/>
    <mergeCell ref="AV1:AW2"/>
    <mergeCell ref="BK1:BL2"/>
    <mergeCell ref="B68:E68"/>
    <mergeCell ref="A39:B45"/>
    <mergeCell ref="R1:AC1"/>
    <mergeCell ref="G2:I2"/>
    <mergeCell ref="AW3:AW4"/>
    <mergeCell ref="AV3:AV4"/>
    <mergeCell ref="D38:F38"/>
    <mergeCell ref="AG1:AH2"/>
    <mergeCell ref="D39:F41"/>
    <mergeCell ref="H39:I40"/>
    <mergeCell ref="J39:O40"/>
    <mergeCell ref="D43:F45"/>
    <mergeCell ref="D42:F42"/>
    <mergeCell ref="H41:O41"/>
    <mergeCell ref="H42:O45"/>
    <mergeCell ref="H38:O38"/>
  </mergeCells>
  <phoneticPr fontId="2"/>
  <conditionalFormatting sqref="A5:A35">
    <cfRule type="expression" dxfId="12" priority="2" stopIfTrue="1">
      <formula>OR(B5="土",B5="日",C5="祝",C5="休")</formula>
    </cfRule>
  </conditionalFormatting>
  <conditionalFormatting sqref="B5:B35">
    <cfRule type="expression" dxfId="11" priority="3" stopIfTrue="1">
      <formula>OR(B5="土",B5="日",C5="祝",C5="休")</formula>
    </cfRule>
  </conditionalFormatting>
  <conditionalFormatting sqref="C5:C35">
    <cfRule type="expression" dxfId="10" priority="4" stopIfTrue="1">
      <formula>OR(B5="土",B5="日",C5="祝",C5="休")</formula>
    </cfRule>
  </conditionalFormatting>
  <conditionalFormatting sqref="D5:DE9 D11:DE35 E10:DE10">
    <cfRule type="expression" dxfId="9" priority="5" stopIfTrue="1">
      <formula>OR($B5="土",$B5="日",$C5="祝",$C5="休")</formula>
    </cfRule>
  </conditionalFormatting>
  <conditionalFormatting sqref="D10">
    <cfRule type="expression" dxfId="8" priority="1" stopIfTrue="1">
      <formula>OR($B10="土",$B10="日",$C10="祝",$C10="休")</formula>
    </cfRule>
  </conditionalFormatting>
  <dataValidations xWindow="282" yWindow="298" count="16">
    <dataValidation allowBlank="1" showInputMessage="1" showErrorMessage="1" prompt="所定内深夜業を行った_x000a_場合に&quot;0&quot;と表示させた" sqref="O4" xr:uid="{00000000-0002-0000-0400-000000000000}"/>
    <dataValidation imeMode="off" allowBlank="1" showInputMessage="1" showErrorMessage="1" prompt="h:mm" sqref="F5 D5" xr:uid="{00000000-0002-0000-0400-000001000000}"/>
    <dataValidation imeMode="off" allowBlank="1" showInputMessage="1" showErrorMessage="1" sqref="F6:F35 D6:D9 D11:D35" xr:uid="{00000000-0002-0000-0400-000002000000}"/>
    <dataValidation imeMode="off" allowBlank="1" showInputMessage="1" showErrorMessage="1" prompt="22日以降は前日の休憩時刻を参照しているので、イレギュラーな休憩が入ったときはその都度入力すること。この場合、翌月の入力の際には前日の休憩時刻を参照するように戻しておくこと。" sqref="AG5:AH5 AV5:AW5 BK5:BL5 BZ5:CA5 CO5:CP5" xr:uid="{00000000-0002-0000-0400-000003000000}"/>
    <dataValidation imeMode="off" allowBlank="1" showInputMessage="1" showErrorMessage="1" prompt="hh:mm" sqref="E2:F2 D39 D42" xr:uid="{00000000-0002-0000-0400-000004000000}"/>
    <dataValidation type="list" allowBlank="1" showInputMessage="1" showErrorMessage="1" sqref="AE5:AE35" xr:uid="{00000000-0002-0000-0400-000005000000}">
      <formula1>$DI$2:$DI$9</formula1>
    </dataValidation>
    <dataValidation type="list" allowBlank="1" showInputMessage="1" showErrorMessage="1" sqref="N2" xr:uid="{00000000-0002-0000-0400-000006000000}">
      <formula1>$DG$30:$DG$31</formula1>
    </dataValidation>
    <dataValidation type="list" allowBlank="1" showInputMessage="1" showErrorMessage="1" sqref="J2" xr:uid="{00000000-0002-0000-0400-000007000000}">
      <formula1>$DH$30:$DH$36</formula1>
    </dataValidation>
    <dataValidation type="list" allowBlank="1" showInputMessage="1" showErrorMessage="1" sqref="E4" xr:uid="{00000000-0002-0000-0400-000008000000}">
      <formula1>$DH$39:$DH$40</formula1>
    </dataValidation>
    <dataValidation type="list" allowBlank="1" showInputMessage="1" showErrorMessage="1" sqref="A1" xr:uid="{00000000-0002-0000-0400-000009000000}">
      <formula1>$DG$2:$DG$27</formula1>
    </dataValidation>
    <dataValidation type="list" allowBlank="1" showInputMessage="1" showErrorMessage="1" sqref="A2" xr:uid="{00000000-0002-0000-0400-00000A000000}">
      <formula1>$DH$2:$DH$13</formula1>
    </dataValidation>
    <dataValidation type="list" allowBlank="1" showInputMessage="1" showErrorMessage="1" sqref="Q5:Q35" xr:uid="{00000000-0002-0000-0400-00000B000000}">
      <formula1>$DJ$2:$DJ$15</formula1>
    </dataValidation>
    <dataValidation type="list" allowBlank="1" showInputMessage="1" showErrorMessage="1" sqref="M2" xr:uid="{00000000-0002-0000-0400-00000C000000}">
      <formula1>$DJ$30:$DJ$41</formula1>
    </dataValidation>
    <dataValidation type="list" allowBlank="1" showInputMessage="1" showErrorMessage="1" sqref="P5:P35" xr:uid="{00000000-0002-0000-0400-00000D000000}">
      <formula1>$DH$2</formula1>
    </dataValidation>
    <dataValidation imeMode="hiragana" allowBlank="1" showInputMessage="1" showErrorMessage="1" sqref="H39 AF5:AF35" xr:uid="{00000000-0002-0000-0400-00000E000000}"/>
    <dataValidation type="list" allowBlank="1" showInputMessage="1" showErrorMessage="1" sqref="J39:O40" xr:uid="{00000000-0002-0000-0400-00000F000000}">
      <formula1>$EF$1:$EF$14</formula1>
    </dataValidation>
  </dataValidations>
  <pageMargins left="0.21" right="0.2" top="0.32" bottom="0.37" header="0.2" footer="0.2"/>
  <pageSetup paperSize="9" scale="67" orientation="landscape" horizontalDpi="4294967294" r:id="rId1"/>
  <headerFooter alignWithMargins="0">
    <oddHeader>&amp;R&amp;D</oddHeader>
    <oddFooter>&amp;L&amp;F&amp;R&amp;A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66" r:id="rId4" name="Button 18">
              <controlPr defaultSize="0" print="0" autoFill="0" autoPict="0" macro="[0]!last_month_clear">
                <anchor moveWithCells="1" sizeWithCells="1">
                  <from>
                    <xdr:col>9</xdr:col>
                    <xdr:colOff>0</xdr:colOff>
                    <xdr:row>0</xdr:row>
                    <xdr:rowOff>9525</xdr:rowOff>
                  </from>
                  <to>
                    <xdr:col>15</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Y52"/>
  <sheetViews>
    <sheetView showGridLines="0" zoomScale="55" zoomScaleNormal="55" workbookViewId="0">
      <pane ySplit="4" topLeftCell="A5" activePane="bottomLeft" state="frozen"/>
      <selection pane="bottomLeft"/>
    </sheetView>
  </sheetViews>
  <sheetFormatPr defaultColWidth="9" defaultRowHeight="13.5"/>
  <cols>
    <col min="1" max="1" width="7.125" style="431" customWidth="1"/>
    <col min="2" max="2" width="4.125" style="431" customWidth="1"/>
    <col min="3" max="3" width="3.875" style="431" bestFit="1" customWidth="1"/>
    <col min="4" max="6" width="12.625" style="431" customWidth="1"/>
    <col min="7" max="8" width="9.375" style="431" customWidth="1"/>
    <col min="9" max="10" width="6.25" style="431" customWidth="1"/>
    <col min="11" max="11" width="5.625" style="431" customWidth="1"/>
    <col min="12" max="20" width="10.625" style="431" customWidth="1"/>
    <col min="21" max="21" width="10.625" style="433" customWidth="1"/>
    <col min="22" max="23" width="10.625" style="431" customWidth="1"/>
    <col min="24" max="24" width="16.625" style="431" customWidth="1"/>
    <col min="25" max="25" width="16.625" style="431" hidden="1" customWidth="1"/>
    <col min="26" max="16384" width="9" style="431"/>
  </cols>
  <sheetData>
    <row r="1" spans="1:25" ht="42">
      <c r="A1" s="527" t="s">
        <v>650</v>
      </c>
      <c r="B1" s="526"/>
      <c r="C1" s="526"/>
      <c r="D1" s="526"/>
      <c r="E1" s="526"/>
      <c r="F1" s="696"/>
      <c r="G1" s="526"/>
      <c r="H1" s="526"/>
      <c r="I1" s="526"/>
      <c r="J1" s="526"/>
      <c r="K1" s="526"/>
      <c r="L1" s="697"/>
      <c r="M1" s="697"/>
      <c r="N1" s="697"/>
      <c r="O1" s="697"/>
      <c r="P1" s="697"/>
      <c r="Q1" s="698"/>
      <c r="R1" s="934">
        <f>DATE(入力シート!A1,1,1)</f>
        <v>44197</v>
      </c>
      <c r="S1" s="934"/>
      <c r="T1" s="430" t="s">
        <v>469</v>
      </c>
      <c r="U1" s="933">
        <f>入力シート!A2</f>
        <v>8</v>
      </c>
      <c r="V1" s="933"/>
      <c r="W1" s="430" t="s">
        <v>651</v>
      </c>
      <c r="X1" s="696"/>
      <c r="Y1" s="432" t="str">
        <f>IF(入力シート!N2="常用雇用","常雇","パート")</f>
        <v>常雇</v>
      </c>
    </row>
    <row r="2" spans="1:25" ht="15" customHeight="1" thickBot="1">
      <c r="A2" s="696"/>
      <c r="B2" s="696"/>
      <c r="C2" s="696"/>
      <c r="D2" s="696"/>
      <c r="E2" s="696"/>
      <c r="F2" s="696"/>
      <c r="G2" s="696"/>
      <c r="H2" s="696"/>
      <c r="I2" s="696"/>
      <c r="J2" s="696"/>
      <c r="K2" s="696"/>
      <c r="L2" s="696"/>
      <c r="M2" s="696"/>
      <c r="N2" s="696"/>
      <c r="O2" s="696"/>
      <c r="P2" s="696"/>
      <c r="Q2" s="696"/>
      <c r="R2" s="696"/>
      <c r="S2" s="696"/>
      <c r="T2" s="696"/>
      <c r="U2" s="699"/>
      <c r="V2" s="696"/>
      <c r="W2" s="696"/>
      <c r="X2" s="696"/>
      <c r="Y2" s="696"/>
    </row>
    <row r="3" spans="1:25" ht="33.75" customHeight="1" thickTop="1">
      <c r="A3" s="962" t="s">
        <v>652</v>
      </c>
      <c r="B3" s="963"/>
      <c r="C3" s="964"/>
      <c r="D3" s="958" t="str">
        <f>入力シート!C2</f>
        <v>中村 知義</v>
      </c>
      <c r="E3" s="959"/>
      <c r="F3" s="956" t="s">
        <v>473</v>
      </c>
      <c r="G3" s="950" t="str">
        <f>入力シート!G2</f>
        <v>矢崎総業（株）内</v>
      </c>
      <c r="H3" s="951"/>
      <c r="I3" s="951"/>
      <c r="J3" s="951"/>
      <c r="K3" s="951"/>
      <c r="L3" s="951"/>
      <c r="M3" s="952"/>
      <c r="N3" s="982" t="s">
        <v>653</v>
      </c>
      <c r="O3" s="936"/>
      <c r="P3" s="935" t="s">
        <v>480</v>
      </c>
      <c r="Q3" s="936"/>
      <c r="R3" s="935" t="s">
        <v>481</v>
      </c>
      <c r="S3" s="936"/>
      <c r="T3" s="935" t="s">
        <v>482</v>
      </c>
      <c r="U3" s="936"/>
      <c r="V3" s="935" t="s">
        <v>483</v>
      </c>
      <c r="W3" s="937"/>
      <c r="X3" s="696"/>
      <c r="Y3" s="696"/>
    </row>
    <row r="4" spans="1:25" ht="33.75" customHeight="1">
      <c r="A4" s="965"/>
      <c r="B4" s="966"/>
      <c r="C4" s="967"/>
      <c r="D4" s="960"/>
      <c r="E4" s="961"/>
      <c r="F4" s="957"/>
      <c r="G4" s="953"/>
      <c r="H4" s="954"/>
      <c r="I4" s="954"/>
      <c r="J4" s="954"/>
      <c r="K4" s="954"/>
      <c r="L4" s="954"/>
      <c r="M4" s="955"/>
      <c r="N4" s="983">
        <f>入力シート!AG5</f>
        <v>0.54166666666666663</v>
      </c>
      <c r="O4" s="946"/>
      <c r="P4" s="946">
        <f>入力シート!AV5</f>
        <v>0.875</v>
      </c>
      <c r="Q4" s="946"/>
      <c r="R4" s="946">
        <f>入力シート!BK5</f>
        <v>0</v>
      </c>
      <c r="S4" s="946"/>
      <c r="T4" s="946">
        <f>入力シート!BZ5</f>
        <v>0</v>
      </c>
      <c r="U4" s="946"/>
      <c r="V4" s="946">
        <f>入力シート!CO5</f>
        <v>0</v>
      </c>
      <c r="W4" s="985"/>
      <c r="X4" s="696"/>
      <c r="Y4" s="696"/>
    </row>
    <row r="5" spans="1:25" ht="33.75" customHeight="1" thickBot="1">
      <c r="A5" s="941" t="s">
        <v>49</v>
      </c>
      <c r="B5" s="942"/>
      <c r="C5" s="943"/>
      <c r="D5" s="944">
        <f>入力シート!F2</f>
        <v>0</v>
      </c>
      <c r="E5" s="945"/>
      <c r="F5" s="434" t="s">
        <v>471</v>
      </c>
      <c r="G5" s="944">
        <f>入力シート!E2</f>
        <v>0</v>
      </c>
      <c r="H5" s="948"/>
      <c r="I5" s="948"/>
      <c r="J5" s="948"/>
      <c r="K5" s="948"/>
      <c r="L5" s="948"/>
      <c r="M5" s="949"/>
      <c r="N5" s="984">
        <f>入力シート!AH5</f>
        <v>0.57291666666666663</v>
      </c>
      <c r="O5" s="947"/>
      <c r="P5" s="947">
        <f>入力シート!AW5</f>
        <v>0.89583333333333337</v>
      </c>
      <c r="Q5" s="947"/>
      <c r="R5" s="947">
        <f>入力シート!BL5</f>
        <v>0</v>
      </c>
      <c r="S5" s="947"/>
      <c r="T5" s="947">
        <f>入力シート!CA5</f>
        <v>0</v>
      </c>
      <c r="U5" s="947"/>
      <c r="V5" s="947">
        <f>入力シート!CP5</f>
        <v>0</v>
      </c>
      <c r="W5" s="986"/>
      <c r="X5" s="696"/>
      <c r="Y5" s="696"/>
    </row>
    <row r="6" spans="1:25" ht="15" customHeight="1" thickTop="1" thickBot="1">
      <c r="A6" s="696"/>
      <c r="B6" s="696"/>
      <c r="C6" s="696"/>
      <c r="D6" s="696"/>
      <c r="E6" s="696"/>
      <c r="F6" s="696"/>
      <c r="G6" s="696"/>
      <c r="H6" s="696"/>
      <c r="I6" s="696"/>
      <c r="J6" s="696"/>
      <c r="K6" s="696"/>
      <c r="L6" s="696"/>
      <c r="M6" s="700"/>
      <c r="N6" s="696"/>
      <c r="O6" s="700">
        <f>N5-N4</f>
        <v>3.125E-2</v>
      </c>
      <c r="P6" s="700"/>
      <c r="Q6" s="700">
        <f>P5-P4</f>
        <v>2.083333333333337E-2</v>
      </c>
      <c r="R6" s="696"/>
      <c r="S6" s="700">
        <f>R5-R4</f>
        <v>0</v>
      </c>
      <c r="T6" s="696"/>
      <c r="U6" s="700">
        <f>T5-T4</f>
        <v>0</v>
      </c>
      <c r="V6" s="696"/>
      <c r="W6" s="700">
        <f>V5-V4</f>
        <v>0</v>
      </c>
      <c r="X6" s="696"/>
      <c r="Y6" s="696"/>
    </row>
    <row r="7" spans="1:25" ht="36.950000000000003" customHeight="1" thickTop="1" thickBot="1">
      <c r="A7" s="742"/>
      <c r="B7" s="737"/>
      <c r="C7" s="743"/>
      <c r="D7" s="435"/>
      <c r="E7" s="743"/>
      <c r="F7" s="736"/>
      <c r="G7" s="742"/>
      <c r="H7" s="738"/>
      <c r="I7" s="938" t="s">
        <v>654</v>
      </c>
      <c r="J7" s="939"/>
      <c r="K7" s="940"/>
      <c r="L7" s="429" t="s">
        <v>655</v>
      </c>
      <c r="M7" s="362"/>
      <c r="N7" s="436"/>
      <c r="O7" s="437"/>
      <c r="P7" s="438"/>
      <c r="Q7" s="437"/>
      <c r="R7" s="737"/>
      <c r="S7" s="743"/>
      <c r="T7" s="968" t="s">
        <v>519</v>
      </c>
      <c r="U7" s="939"/>
      <c r="V7" s="939"/>
      <c r="W7" s="969"/>
      <c r="X7" s="696"/>
      <c r="Y7" s="696"/>
    </row>
    <row r="8" spans="1:25" ht="36.950000000000003" customHeight="1" thickBot="1">
      <c r="A8" s="334" t="s">
        <v>529</v>
      </c>
      <c r="B8" s="299" t="s">
        <v>656</v>
      </c>
      <c r="C8" s="739"/>
      <c r="D8" s="439" t="s">
        <v>5</v>
      </c>
      <c r="E8" s="739" t="s">
        <v>8</v>
      </c>
      <c r="F8" s="735" t="s">
        <v>657</v>
      </c>
      <c r="G8" s="741" t="s">
        <v>47</v>
      </c>
      <c r="H8" s="740"/>
      <c r="I8" s="989" t="s">
        <v>658</v>
      </c>
      <c r="J8" s="990"/>
      <c r="K8" s="440" t="s">
        <v>659</v>
      </c>
      <c r="L8" s="441" t="s">
        <v>660</v>
      </c>
      <c r="M8" s="442" t="s">
        <v>559</v>
      </c>
      <c r="N8" s="739" t="s">
        <v>537</v>
      </c>
      <c r="O8" s="970" t="s">
        <v>661</v>
      </c>
      <c r="P8" s="994"/>
      <c r="Q8" s="970" t="s">
        <v>518</v>
      </c>
      <c r="R8" s="971"/>
      <c r="S8" s="972"/>
      <c r="T8" s="970" t="s">
        <v>556</v>
      </c>
      <c r="U8" s="971"/>
      <c r="V8" s="971"/>
      <c r="W8" s="973"/>
      <c r="X8" s="696"/>
      <c r="Y8" s="696"/>
    </row>
    <row r="9" spans="1:25" ht="41.25" customHeight="1" thickTop="1">
      <c r="A9" s="443">
        <f>入力シート!A5</f>
        <v>44398</v>
      </c>
      <c r="B9" s="444" t="str">
        <f>入力シート!B5</f>
        <v>水</v>
      </c>
      <c r="C9" s="445" t="str">
        <f>入力シート!C5</f>
        <v/>
      </c>
      <c r="D9" s="446">
        <f>IF(A9="","",入力シート!E5)</f>
        <v>0</v>
      </c>
      <c r="E9" s="447">
        <f>IF(A9="","",入力シート!G5)</f>
        <v>0</v>
      </c>
      <c r="F9" s="448">
        <f>IF(A9="","",入力シート!I5)</f>
        <v>0</v>
      </c>
      <c r="G9" s="987">
        <f>IF(A9="","",入力シート!J5)</f>
        <v>0</v>
      </c>
      <c r="H9" s="988"/>
      <c r="I9" s="991">
        <f>入力シート!L5</f>
        <v>0</v>
      </c>
      <c r="J9" s="992"/>
      <c r="K9" s="449" t="str">
        <f>IF(入力シート!P5="","",入力シート!P5)</f>
        <v/>
      </c>
      <c r="L9" s="450">
        <f>IF(A9="","",入力シート!O5)</f>
        <v>0</v>
      </c>
      <c r="M9" s="451">
        <f>IF(A9="","",入力シート!N5)</f>
        <v>0</v>
      </c>
      <c r="N9" s="452">
        <f>IF(A9="","",入力シート!M5)</f>
        <v>0</v>
      </c>
      <c r="O9" s="995" t="str">
        <f>IF(AND(OR(B9="土",B9="日",C9="祝",C9="休"),D9&lt;&gt;0),"休出",IF(入力シート!Q5="","",入力シート!Q5))</f>
        <v/>
      </c>
      <c r="P9" s="979"/>
      <c r="Q9" s="977" t="str">
        <f>IF(入力シート!AE5="","",入力シート!AE5)</f>
        <v/>
      </c>
      <c r="R9" s="978"/>
      <c r="S9" s="979"/>
      <c r="T9" s="974" t="str">
        <f>IF(入力シート!AF5="","",入力シート!AF5)</f>
        <v>忌引き</v>
      </c>
      <c r="U9" s="975"/>
      <c r="V9" s="975"/>
      <c r="W9" s="976"/>
      <c r="X9" s="696"/>
      <c r="Y9" s="696"/>
    </row>
    <row r="10" spans="1:25" ht="41.25" customHeight="1">
      <c r="A10" s="453">
        <f>入力シート!A6</f>
        <v>44399</v>
      </c>
      <c r="B10" s="454" t="str">
        <f>入力シート!B6</f>
        <v>木</v>
      </c>
      <c r="C10" s="455" t="str">
        <f>入力シート!C6</f>
        <v>祝</v>
      </c>
      <c r="D10" s="456">
        <f>IF(A10="","",入力シート!E6)</f>
        <v>0</v>
      </c>
      <c r="E10" s="457">
        <f>IF(A10="","",入力シート!G6)</f>
        <v>0</v>
      </c>
      <c r="F10" s="458">
        <f>IF(A10="","",入力シート!I6)</f>
        <v>0</v>
      </c>
      <c r="G10" s="905">
        <f>IF(A10="","",入力シート!J6)</f>
        <v>0</v>
      </c>
      <c r="H10" s="906"/>
      <c r="I10" s="876">
        <f>入力シート!L6</f>
        <v>0</v>
      </c>
      <c r="J10" s="877"/>
      <c r="K10" s="459" t="str">
        <f>IF(入力シート!P6="","",入力シート!P6)</f>
        <v/>
      </c>
      <c r="L10" s="460">
        <f>IF(A10="","",入力シート!O6)</f>
        <v>0</v>
      </c>
      <c r="M10" s="461">
        <f>IF(A10="","",入力シート!N6)</f>
        <v>0</v>
      </c>
      <c r="N10" s="462">
        <f>IF(A10="","",入力シート!M6)</f>
        <v>0</v>
      </c>
      <c r="O10" s="993" t="str">
        <f>IF(AND(OR(B10="土",B10="日",C10="祝",C10="休"),D10&lt;&gt;0),"休出",IF(入力シート!Q6="","",入力シート!Q6))</f>
        <v/>
      </c>
      <c r="P10" s="981"/>
      <c r="Q10" s="907" t="str">
        <f>IF(入力シート!AE6="","",入力シート!AE6)</f>
        <v/>
      </c>
      <c r="R10" s="980"/>
      <c r="S10" s="981"/>
      <c r="T10" s="910" t="str">
        <f>IF(入力シート!AF6="","",入力シート!AF6)</f>
        <v/>
      </c>
      <c r="U10" s="911"/>
      <c r="V10" s="911"/>
      <c r="W10" s="912"/>
      <c r="X10" s="696"/>
      <c r="Y10" s="696"/>
    </row>
    <row r="11" spans="1:25" ht="41.25" customHeight="1">
      <c r="A11" s="453">
        <f>入力シート!A7</f>
        <v>44400</v>
      </c>
      <c r="B11" s="454" t="str">
        <f>入力シート!B7</f>
        <v>金</v>
      </c>
      <c r="C11" s="455" t="str">
        <f>入力シート!C7</f>
        <v>祝</v>
      </c>
      <c r="D11" s="456">
        <f>IF(A11="","",入力シート!E7)</f>
        <v>0</v>
      </c>
      <c r="E11" s="457">
        <f>IF(A11="","",入力シート!G7)</f>
        <v>0</v>
      </c>
      <c r="F11" s="458">
        <f>IF(A11="","",入力シート!I7)</f>
        <v>0</v>
      </c>
      <c r="G11" s="905">
        <f>IF(A11="","",入力シート!J7)</f>
        <v>0</v>
      </c>
      <c r="H11" s="906"/>
      <c r="I11" s="876">
        <f>入力シート!L7</f>
        <v>0</v>
      </c>
      <c r="J11" s="877"/>
      <c r="K11" s="459" t="str">
        <f>IF(入力シート!P7="","",入力シート!P7)</f>
        <v/>
      </c>
      <c r="L11" s="460">
        <f>IF(A11="","",入力シート!O7)</f>
        <v>0</v>
      </c>
      <c r="M11" s="461">
        <f>IF(A11="","",入力シート!N7)</f>
        <v>0</v>
      </c>
      <c r="N11" s="462">
        <f>IF(A11="","",入力シート!M7)</f>
        <v>0</v>
      </c>
      <c r="O11" s="993" t="str">
        <f>IF(AND(OR(B11="土",B11="日",C11="祝",C11="休"),D11&lt;&gt;0),"休出",IF(入力シート!Q7="","",入力シート!Q7))</f>
        <v/>
      </c>
      <c r="P11" s="981"/>
      <c r="Q11" s="907" t="str">
        <f>IF(入力シート!AE7="","",入力シート!AE7)</f>
        <v/>
      </c>
      <c r="R11" s="980"/>
      <c r="S11" s="981"/>
      <c r="T11" s="910" t="str">
        <f>IF(入力シート!AF7="","",入力シート!AF7)</f>
        <v/>
      </c>
      <c r="U11" s="911"/>
      <c r="V11" s="911"/>
      <c r="W11" s="912"/>
      <c r="X11" s="696"/>
      <c r="Y11" s="696"/>
    </row>
    <row r="12" spans="1:25" ht="41.25" customHeight="1">
      <c r="A12" s="453">
        <f>入力シート!A8</f>
        <v>44401</v>
      </c>
      <c r="B12" s="454" t="str">
        <f>入力シート!B8</f>
        <v>土</v>
      </c>
      <c r="C12" s="455" t="str">
        <f>入力シート!C8</f>
        <v/>
      </c>
      <c r="D12" s="456">
        <f>IF(A12="","",入力シート!E8)</f>
        <v>0</v>
      </c>
      <c r="E12" s="457">
        <f>IF(A12="","",入力シート!G8)</f>
        <v>0</v>
      </c>
      <c r="F12" s="458">
        <f>IF(A12="","",入力シート!I8)</f>
        <v>0</v>
      </c>
      <c r="G12" s="905">
        <f>IF(A12="","",入力シート!J8)</f>
        <v>0</v>
      </c>
      <c r="H12" s="906"/>
      <c r="I12" s="876">
        <f>入力シート!L8</f>
        <v>0</v>
      </c>
      <c r="J12" s="877"/>
      <c r="K12" s="459" t="str">
        <f>IF(入力シート!P8="","",入力シート!P8)</f>
        <v/>
      </c>
      <c r="L12" s="460">
        <f>IF(A12="","",入力シート!O8)</f>
        <v>0</v>
      </c>
      <c r="M12" s="461">
        <f>IF(A12="","",入力シート!N8)</f>
        <v>0</v>
      </c>
      <c r="N12" s="462">
        <f>IF(A12="","",入力シート!M8)</f>
        <v>0</v>
      </c>
      <c r="O12" s="993" t="str">
        <f>IF(AND(OR(B12="土",B12="日",C12="祝",C12="休"),D12&lt;&gt;0),"休出",IF(入力シート!Q8="","",入力シート!Q8))</f>
        <v/>
      </c>
      <c r="P12" s="981"/>
      <c r="Q12" s="907" t="str">
        <f>IF(入力シート!AE8="","",入力シート!AE8)</f>
        <v/>
      </c>
      <c r="R12" s="980"/>
      <c r="S12" s="981"/>
      <c r="T12" s="910" t="str">
        <f>IF(入力シート!AF8="","",入力シート!AF8)</f>
        <v/>
      </c>
      <c r="U12" s="911"/>
      <c r="V12" s="911"/>
      <c r="W12" s="912"/>
      <c r="X12" s="696"/>
      <c r="Y12" s="696"/>
    </row>
    <row r="13" spans="1:25" ht="41.25" customHeight="1">
      <c r="A13" s="453">
        <f>入力シート!A9</f>
        <v>44402</v>
      </c>
      <c r="B13" s="454" t="str">
        <f>入力シート!B9</f>
        <v>日</v>
      </c>
      <c r="C13" s="455" t="str">
        <f>入力シート!C9</f>
        <v/>
      </c>
      <c r="D13" s="456">
        <f>IF(A13="","",入力シート!E9)</f>
        <v>0</v>
      </c>
      <c r="E13" s="457">
        <f>IF(A13="","",入力シート!G9)</f>
        <v>0</v>
      </c>
      <c r="F13" s="458">
        <f>IF(A13="","",入力シート!I9)</f>
        <v>0</v>
      </c>
      <c r="G13" s="905">
        <f>IF(A13="","",入力シート!J9)</f>
        <v>0</v>
      </c>
      <c r="H13" s="906"/>
      <c r="I13" s="876">
        <f>入力シート!L9</f>
        <v>0</v>
      </c>
      <c r="J13" s="877"/>
      <c r="K13" s="459" t="str">
        <f>IF(入力シート!P9="","",入力シート!P9)</f>
        <v/>
      </c>
      <c r="L13" s="460">
        <f>IF(A13="","",入力シート!O9)</f>
        <v>0</v>
      </c>
      <c r="M13" s="461">
        <f>IF(A13="","",入力シート!N9)</f>
        <v>0</v>
      </c>
      <c r="N13" s="462">
        <f>IF(A13="","",入力シート!M9)</f>
        <v>0</v>
      </c>
      <c r="O13" s="993" t="str">
        <f>IF(AND(OR(B13="土",B13="日",C13="祝",C13="休"),D13&lt;&gt;0),"休出",IF(入力シート!Q9="","",入力シート!Q9))</f>
        <v/>
      </c>
      <c r="P13" s="981"/>
      <c r="Q13" s="907" t="str">
        <f>IF(入力シート!AE9="","",入力シート!AE9)</f>
        <v/>
      </c>
      <c r="R13" s="980"/>
      <c r="S13" s="981"/>
      <c r="T13" s="910" t="str">
        <f>IF(入力シート!AF9="","",入力シート!AF9)</f>
        <v/>
      </c>
      <c r="U13" s="911"/>
      <c r="V13" s="911"/>
      <c r="W13" s="912"/>
      <c r="X13" s="696"/>
      <c r="Y13" s="696"/>
    </row>
    <row r="14" spans="1:25" ht="41.25" customHeight="1">
      <c r="A14" s="453">
        <f>入力シート!A10</f>
        <v>44403</v>
      </c>
      <c r="B14" s="454" t="str">
        <f>入力シート!B10</f>
        <v>月</v>
      </c>
      <c r="C14" s="455" t="str">
        <f>入力シート!C10</f>
        <v/>
      </c>
      <c r="D14" s="456">
        <f>IF(A14="","",入力シート!E10)</f>
        <v>0.35416666666666663</v>
      </c>
      <c r="E14" s="457">
        <f>IF(A14="","",入力シート!G10)</f>
        <v>0.71875</v>
      </c>
      <c r="F14" s="458">
        <f>IF(A14="","",入力シート!I10)</f>
        <v>3.125E-2</v>
      </c>
      <c r="G14" s="905">
        <f>IF(A14="","",入力シート!J10)</f>
        <v>0.33333333333333331</v>
      </c>
      <c r="H14" s="906"/>
      <c r="I14" s="876">
        <f>入力シート!L10</f>
        <v>0.35416666666666663</v>
      </c>
      <c r="J14" s="877"/>
      <c r="K14" s="459" t="str">
        <f>IF(入力シート!P10="","",入力シート!P10)</f>
        <v/>
      </c>
      <c r="L14" s="460">
        <f>IF(A14="","",入力シート!O10)</f>
        <v>0</v>
      </c>
      <c r="M14" s="461">
        <f>IF(A14="","",入力シート!N10)</f>
        <v>0</v>
      </c>
      <c r="N14" s="462">
        <f>IF(A14="","",入力シート!M10)</f>
        <v>0</v>
      </c>
      <c r="O14" s="993" t="str">
        <f>IF(AND(OR(B14="土",B14="日",C14="祝",C14="休"),D14&lt;&gt;0),"休出",IF(入力シート!Q10="","",入力シート!Q10))</f>
        <v/>
      </c>
      <c r="P14" s="981"/>
      <c r="Q14" s="907" t="str">
        <f>IF(入力シート!AE10="","",入力シート!AE10)</f>
        <v/>
      </c>
      <c r="R14" s="908"/>
      <c r="S14" s="909"/>
      <c r="T14" s="910" t="str">
        <f>IF(入力シート!AF10="","",入力シート!AF10)</f>
        <v/>
      </c>
      <c r="U14" s="911"/>
      <c r="V14" s="911"/>
      <c r="W14" s="912"/>
      <c r="X14" s="696"/>
      <c r="Y14" s="696"/>
    </row>
    <row r="15" spans="1:25" ht="41.25" customHeight="1">
      <c r="A15" s="453">
        <f>入力シート!A11</f>
        <v>44404</v>
      </c>
      <c r="B15" s="454" t="str">
        <f>入力シート!B11</f>
        <v>火</v>
      </c>
      <c r="C15" s="455" t="str">
        <f>入力シート!C11</f>
        <v/>
      </c>
      <c r="D15" s="456">
        <f>IF(A15="","",入力シート!E11)</f>
        <v>0.35416666666666663</v>
      </c>
      <c r="E15" s="457">
        <f>IF(A15="","",入力シート!G11)</f>
        <v>0.72916666666666663</v>
      </c>
      <c r="F15" s="458">
        <f>IF(A15="","",入力シート!I11)</f>
        <v>3.125E-2</v>
      </c>
      <c r="G15" s="905">
        <f>IF(A15="","",入力シート!J11)</f>
        <v>0.34375</v>
      </c>
      <c r="H15" s="906"/>
      <c r="I15" s="876">
        <f>入力シート!L11</f>
        <v>0.35416666666666663</v>
      </c>
      <c r="J15" s="877"/>
      <c r="K15" s="459" t="str">
        <f>IF(入力シート!P11="","",入力シート!P11)</f>
        <v/>
      </c>
      <c r="L15" s="460">
        <f>IF(A15="","",入力シート!O11)</f>
        <v>1.0416666666666685E-2</v>
      </c>
      <c r="M15" s="461">
        <f>IF(A15="","",入力シート!N11)</f>
        <v>0</v>
      </c>
      <c r="N15" s="462">
        <f>IF(A15="","",入力シート!M11)</f>
        <v>1.0416666666666685E-2</v>
      </c>
      <c r="O15" s="993" t="str">
        <f>IF(AND(OR(B15="土",B15="日",C15="祝",C15="休"),D15&lt;&gt;0),"休出",IF(入力シート!Q11="","",入力シート!Q11))</f>
        <v/>
      </c>
      <c r="P15" s="981"/>
      <c r="Q15" s="907" t="str">
        <f>IF(入力シート!AE11="","",入力シート!AE11)</f>
        <v/>
      </c>
      <c r="R15" s="908"/>
      <c r="S15" s="909"/>
      <c r="T15" s="910" t="str">
        <f>IF(入力シート!AF11="","",入力シート!AF11)</f>
        <v/>
      </c>
      <c r="U15" s="911"/>
      <c r="V15" s="911"/>
      <c r="W15" s="912"/>
      <c r="X15" s="696"/>
      <c r="Y15" s="696"/>
    </row>
    <row r="16" spans="1:25" ht="41.25" customHeight="1">
      <c r="A16" s="453">
        <f>入力シート!A12</f>
        <v>44405</v>
      </c>
      <c r="B16" s="454" t="str">
        <f>入力シート!B12</f>
        <v>水</v>
      </c>
      <c r="C16" s="455" t="str">
        <f>入力シート!C12</f>
        <v/>
      </c>
      <c r="D16" s="456">
        <f>IF(A16="","",入力シート!E12)</f>
        <v>0.35416666666666663</v>
      </c>
      <c r="E16" s="457">
        <f>IF(A16="","",入力シート!G12)</f>
        <v>0.72916666666666663</v>
      </c>
      <c r="F16" s="458">
        <f>IF(A16="","",入力シート!I12)</f>
        <v>3.125E-2</v>
      </c>
      <c r="G16" s="905">
        <f>IF(A16="","",入力シート!J12)</f>
        <v>0.34375</v>
      </c>
      <c r="H16" s="906"/>
      <c r="I16" s="876">
        <f>入力シート!L12</f>
        <v>0.35416666666666663</v>
      </c>
      <c r="J16" s="877"/>
      <c r="K16" s="459" t="str">
        <f>IF(入力シート!P12="","",入力シート!P12)</f>
        <v/>
      </c>
      <c r="L16" s="460">
        <f>IF(A16="","",入力シート!O12)</f>
        <v>1.0416666666666685E-2</v>
      </c>
      <c r="M16" s="461">
        <f>IF(A16="","",入力シート!N12)</f>
        <v>0</v>
      </c>
      <c r="N16" s="462">
        <f>IF(A16="","",入力シート!M12)</f>
        <v>1.0416666666666685E-2</v>
      </c>
      <c r="O16" s="993" t="str">
        <f>IF(AND(OR(B16="土",B16="日",C16="祝",C16="休"),D16&lt;&gt;0),"休出",IF(入力シート!Q12="","",入力シート!Q12))</f>
        <v/>
      </c>
      <c r="P16" s="981"/>
      <c r="Q16" s="907" t="str">
        <f>IF(入力シート!AE12="","",入力シート!AE12)</f>
        <v/>
      </c>
      <c r="R16" s="908"/>
      <c r="S16" s="909"/>
      <c r="T16" s="910" t="str">
        <f>IF(入力シート!AF12="","",入力シート!AF12)</f>
        <v/>
      </c>
      <c r="U16" s="911"/>
      <c r="V16" s="911"/>
      <c r="W16" s="912"/>
      <c r="X16" s="696"/>
      <c r="Y16" s="696"/>
    </row>
    <row r="17" spans="1:23" ht="41.25" customHeight="1">
      <c r="A17" s="453">
        <f>入力シート!A13</f>
        <v>44406</v>
      </c>
      <c r="B17" s="454" t="str">
        <f>入力シート!B13</f>
        <v>木</v>
      </c>
      <c r="C17" s="455" t="str">
        <f>入力シート!C13</f>
        <v/>
      </c>
      <c r="D17" s="456">
        <f>IF(A17="","",入力シート!E13)</f>
        <v>0.35416666666666663</v>
      </c>
      <c r="E17" s="457">
        <f>IF(A17="","",入力シート!G13)</f>
        <v>0.73958333333333326</v>
      </c>
      <c r="F17" s="458">
        <f>IF(A17="","",入力シート!I13)</f>
        <v>3.125E-2</v>
      </c>
      <c r="G17" s="905">
        <f>IF(A17="","",入力シート!J13)</f>
        <v>0.35416666666666663</v>
      </c>
      <c r="H17" s="906"/>
      <c r="I17" s="876">
        <f>入力シート!L13</f>
        <v>0.35416666666666663</v>
      </c>
      <c r="J17" s="877"/>
      <c r="K17" s="459" t="str">
        <f>IF(入力シート!P13="","",入力シート!P13)</f>
        <v/>
      </c>
      <c r="L17" s="460">
        <f>IF(A17="","",入力シート!O13)</f>
        <v>2.0833333333333315E-2</v>
      </c>
      <c r="M17" s="461">
        <f>IF(A17="","",入力シート!N13)</f>
        <v>0</v>
      </c>
      <c r="N17" s="462">
        <f>IF(A17="","",入力シート!M13)</f>
        <v>2.0833333333333315E-2</v>
      </c>
      <c r="O17" s="993" t="str">
        <f>IF(AND(OR(B17="土",B17="日",C17="祝",C17="休"),D17&lt;&gt;0),"休出",IF(入力シート!Q13="","",入力シート!Q13))</f>
        <v/>
      </c>
      <c r="P17" s="981"/>
      <c r="Q17" s="907" t="str">
        <f>IF(入力シート!AE13="","",入力シート!AE13)</f>
        <v/>
      </c>
      <c r="R17" s="908"/>
      <c r="S17" s="909"/>
      <c r="T17" s="910" t="str">
        <f>IF(入力シート!AF13="","",入力シート!AF13)</f>
        <v/>
      </c>
      <c r="U17" s="911"/>
      <c r="V17" s="911"/>
      <c r="W17" s="912"/>
    </row>
    <row r="18" spans="1:23" ht="41.25" customHeight="1">
      <c r="A18" s="453">
        <f>入力シート!A14</f>
        <v>44407</v>
      </c>
      <c r="B18" s="454" t="str">
        <f>入力シート!B14</f>
        <v>金</v>
      </c>
      <c r="C18" s="455" t="str">
        <f>入力シート!C14</f>
        <v/>
      </c>
      <c r="D18" s="456">
        <f>IF(A18="","",入力シート!E14)</f>
        <v>0.35416666666666663</v>
      </c>
      <c r="E18" s="457">
        <f>IF(A18="","",入力シート!G14)</f>
        <v>0.71875</v>
      </c>
      <c r="F18" s="458">
        <f>IF(A18="","",入力シート!I14)</f>
        <v>3.125E-2</v>
      </c>
      <c r="G18" s="905">
        <f>IF(A18="","",入力シート!J14)</f>
        <v>0.33333333333333331</v>
      </c>
      <c r="H18" s="906"/>
      <c r="I18" s="876">
        <f>入力シート!L14</f>
        <v>0.35416666666666663</v>
      </c>
      <c r="J18" s="877"/>
      <c r="K18" s="459" t="str">
        <f>IF(入力シート!P14="","",入力シート!P14)</f>
        <v/>
      </c>
      <c r="L18" s="460">
        <f>IF(A18="","",入力シート!O14)</f>
        <v>0</v>
      </c>
      <c r="M18" s="461">
        <f>IF(A18="","",入力シート!N14)</f>
        <v>0</v>
      </c>
      <c r="N18" s="462">
        <f>IF(A18="","",入力シート!M14)</f>
        <v>0</v>
      </c>
      <c r="O18" s="993" t="str">
        <f>IF(AND(OR(B18="土",B18="日",C18="祝",C18="休"),D18&lt;&gt;0),"休出",IF(入力シート!Q14="","",入力シート!Q14))</f>
        <v/>
      </c>
      <c r="P18" s="981"/>
      <c r="Q18" s="907" t="str">
        <f>IF(入力シート!AE14="","",入力シート!AE14)</f>
        <v/>
      </c>
      <c r="R18" s="908"/>
      <c r="S18" s="909"/>
      <c r="T18" s="910" t="str">
        <f>IF(入力シート!AF14="","",入力シート!AF14)</f>
        <v/>
      </c>
      <c r="U18" s="911"/>
      <c r="V18" s="911"/>
      <c r="W18" s="912"/>
    </row>
    <row r="19" spans="1:23" ht="41.25" customHeight="1">
      <c r="A19" s="453">
        <f>入力シート!A15</f>
        <v>44408</v>
      </c>
      <c r="B19" s="454" t="str">
        <f>入力シート!B15</f>
        <v>土</v>
      </c>
      <c r="C19" s="455" t="str">
        <f>入力シート!C15</f>
        <v/>
      </c>
      <c r="D19" s="456">
        <f>IF(A19="","",入力シート!E15)</f>
        <v>0</v>
      </c>
      <c r="E19" s="457">
        <f>IF(A19="","",入力シート!G15)</f>
        <v>0</v>
      </c>
      <c r="F19" s="458">
        <f>IF(A19="","",入力シート!I15)</f>
        <v>0</v>
      </c>
      <c r="G19" s="905">
        <f>IF(A19="","",入力シート!J15)</f>
        <v>0</v>
      </c>
      <c r="H19" s="906"/>
      <c r="I19" s="876">
        <f>入力シート!L15</f>
        <v>0</v>
      </c>
      <c r="J19" s="877"/>
      <c r="K19" s="459" t="str">
        <f>IF(入力シート!P15="","",入力シート!P15)</f>
        <v/>
      </c>
      <c r="L19" s="460">
        <f>IF(A19="","",入力シート!O15)</f>
        <v>0</v>
      </c>
      <c r="M19" s="461">
        <f>IF(A19="","",入力シート!N15)</f>
        <v>0</v>
      </c>
      <c r="N19" s="462">
        <f>IF(A19="","",入力シート!M15)</f>
        <v>0</v>
      </c>
      <c r="O19" s="993" t="str">
        <f>IF(AND(OR(B19="土",B19="日",C19="祝",C19="休"),D19&lt;&gt;0),"休出",IF(入力シート!Q15="","",入力シート!Q15))</f>
        <v/>
      </c>
      <c r="P19" s="981"/>
      <c r="Q19" s="907" t="str">
        <f>IF(入力シート!AE15="","",入力シート!AE15)</f>
        <v/>
      </c>
      <c r="R19" s="908"/>
      <c r="S19" s="909"/>
      <c r="T19" s="910" t="str">
        <f>IF(入力シート!AF15="","",入力シート!AF15)</f>
        <v/>
      </c>
      <c r="U19" s="911"/>
      <c r="V19" s="911"/>
      <c r="W19" s="912"/>
    </row>
    <row r="20" spans="1:23" ht="41.25" customHeight="1">
      <c r="A20" s="453">
        <f>入力シート!A16</f>
        <v>44409</v>
      </c>
      <c r="B20" s="454" t="str">
        <f>入力シート!B16</f>
        <v>日</v>
      </c>
      <c r="C20" s="455" t="str">
        <f>入力シート!C16</f>
        <v/>
      </c>
      <c r="D20" s="456">
        <f>IF(A20="","",入力シート!E16)</f>
        <v>0</v>
      </c>
      <c r="E20" s="457">
        <f>IF(A20="","",入力シート!G16)</f>
        <v>0</v>
      </c>
      <c r="F20" s="458">
        <f>IF(A20="","",入力シート!I16)</f>
        <v>0</v>
      </c>
      <c r="G20" s="905">
        <f>IF(A20="","",入力シート!J16)</f>
        <v>0</v>
      </c>
      <c r="H20" s="906"/>
      <c r="I20" s="876">
        <f>入力シート!L16</f>
        <v>0</v>
      </c>
      <c r="J20" s="877"/>
      <c r="K20" s="459" t="str">
        <f>IF(入力シート!P16="","",入力シート!P16)</f>
        <v/>
      </c>
      <c r="L20" s="460">
        <f>IF(A20="","",入力シート!O16)</f>
        <v>0</v>
      </c>
      <c r="M20" s="461">
        <f>IF(A20="","",入力シート!N16)</f>
        <v>0</v>
      </c>
      <c r="N20" s="462">
        <f>IF(A20="","",入力シート!M16)</f>
        <v>0</v>
      </c>
      <c r="O20" s="993" t="str">
        <f>IF(AND(OR(B20="土",B20="日",C20="祝",C20="休"),D20&lt;&gt;0),"休出",IF(入力シート!Q16="","",入力シート!Q16))</f>
        <v/>
      </c>
      <c r="P20" s="981"/>
      <c r="Q20" s="907" t="str">
        <f>IF(入力シート!AE16="","",入力シート!AE16)</f>
        <v/>
      </c>
      <c r="R20" s="908"/>
      <c r="S20" s="909"/>
      <c r="T20" s="910" t="str">
        <f>IF(入力シート!AF16="","",入力シート!AF16)</f>
        <v/>
      </c>
      <c r="U20" s="911"/>
      <c r="V20" s="911"/>
      <c r="W20" s="912"/>
    </row>
    <row r="21" spans="1:23" ht="41.25" customHeight="1">
      <c r="A21" s="453">
        <f>入力シート!A17</f>
        <v>44410</v>
      </c>
      <c r="B21" s="454" t="str">
        <f>入力シート!B17</f>
        <v>月</v>
      </c>
      <c r="C21" s="455" t="str">
        <f>入力シート!C17</f>
        <v/>
      </c>
      <c r="D21" s="456">
        <f>IF(A21="","",入力シート!E17)</f>
        <v>0.35416666666666663</v>
      </c>
      <c r="E21" s="457">
        <f>IF(A21="","",入力シート!G17)</f>
        <v>0.79166666666666663</v>
      </c>
      <c r="F21" s="458">
        <f>IF(A21="","",入力シート!I17)</f>
        <v>3.125E-2</v>
      </c>
      <c r="G21" s="905">
        <f>IF(A21="","",入力シート!J17)</f>
        <v>0.40625</v>
      </c>
      <c r="H21" s="906"/>
      <c r="I21" s="876">
        <f>入力シート!L17</f>
        <v>0.35416666666666663</v>
      </c>
      <c r="J21" s="877"/>
      <c r="K21" s="459" t="str">
        <f>IF(入力シート!P17="","",入力シート!P17)</f>
        <v/>
      </c>
      <c r="L21" s="460">
        <f>IF(A21="","",入力シート!O17)</f>
        <v>7.2916666666666685E-2</v>
      </c>
      <c r="M21" s="461">
        <f>IF(A21="","",入力シート!N17)</f>
        <v>0</v>
      </c>
      <c r="N21" s="462">
        <f>IF(A21="","",入力シート!M17)</f>
        <v>7.2916666666666685E-2</v>
      </c>
      <c r="O21" s="993" t="str">
        <f>IF(AND(OR(B21="土",B21="日",C21="祝",C21="休"),D21&lt;&gt;0),"休出",IF(入力シート!Q17="","",入力シート!Q17))</f>
        <v/>
      </c>
      <c r="P21" s="981"/>
      <c r="Q21" s="907" t="str">
        <f>IF(入力シート!AE17="","",入力シート!AE17)</f>
        <v/>
      </c>
      <c r="R21" s="908"/>
      <c r="S21" s="909"/>
      <c r="T21" s="910" t="str">
        <f>IF(入力シート!AF17="","",入力シート!AF17)</f>
        <v/>
      </c>
      <c r="U21" s="911"/>
      <c r="V21" s="911"/>
      <c r="W21" s="912"/>
    </row>
    <row r="22" spans="1:23" ht="41.25" customHeight="1">
      <c r="A22" s="453">
        <f>入力シート!A18</f>
        <v>44411</v>
      </c>
      <c r="B22" s="454" t="str">
        <f>入力シート!B18</f>
        <v>火</v>
      </c>
      <c r="C22" s="455" t="str">
        <f>入力シート!C18</f>
        <v/>
      </c>
      <c r="D22" s="456">
        <f>IF(A22="","",入力シート!E18)</f>
        <v>0.39583333333333331</v>
      </c>
      <c r="E22" s="457">
        <f>IF(A22="","",入力シート!G18)</f>
        <v>0.71875</v>
      </c>
      <c r="F22" s="458">
        <f>IF(A22="","",入力シート!I18)</f>
        <v>3.125E-2</v>
      </c>
      <c r="G22" s="905">
        <f>IF(A22="","",入力シート!J18)</f>
        <v>0.29166666666666663</v>
      </c>
      <c r="H22" s="906"/>
      <c r="I22" s="876">
        <f>入力シート!L18</f>
        <v>0.39583333333333331</v>
      </c>
      <c r="J22" s="877"/>
      <c r="K22" s="459" t="str">
        <f>IF(入力シート!P18="","",入力シート!P18)</f>
        <v/>
      </c>
      <c r="L22" s="460">
        <f>IF(A22="","",入力シート!O18)</f>
        <v>0</v>
      </c>
      <c r="M22" s="461">
        <f>IF(A22="","",入力シート!N18)</f>
        <v>0</v>
      </c>
      <c r="N22" s="462">
        <f>IF(A22="","",入力シート!M18)</f>
        <v>0</v>
      </c>
      <c r="O22" s="993" t="str">
        <f>IF(AND(OR(B22="土",B22="日",C22="祝",C22="休"),D22&lt;&gt;0),"休出",IF(入力シート!Q18="","",入力シート!Q18))</f>
        <v>遅刻</v>
      </c>
      <c r="P22" s="981"/>
      <c r="Q22" s="907" t="str">
        <f>IF(入力シート!AE18="","",入力シート!AE18)</f>
        <v/>
      </c>
      <c r="R22" s="908"/>
      <c r="S22" s="909"/>
      <c r="T22" s="910" t="str">
        <f>IF(入力シート!AF18="","",入力シート!AF18)</f>
        <v>体調不良</v>
      </c>
      <c r="U22" s="911"/>
      <c r="V22" s="911"/>
      <c r="W22" s="912"/>
    </row>
    <row r="23" spans="1:23" ht="41.25" customHeight="1">
      <c r="A23" s="453">
        <f>入力シート!A19</f>
        <v>44412</v>
      </c>
      <c r="B23" s="454" t="str">
        <f>入力シート!B19</f>
        <v>水</v>
      </c>
      <c r="C23" s="455" t="str">
        <f>入力シート!C19</f>
        <v/>
      </c>
      <c r="D23" s="456">
        <f>IF(A23="","",入力シート!E19)</f>
        <v>0.35416666666666663</v>
      </c>
      <c r="E23" s="457">
        <f>IF(A23="","",入力シート!G19)</f>
        <v>0.71875</v>
      </c>
      <c r="F23" s="458">
        <f>IF(A23="","",入力シート!I19)</f>
        <v>3.125E-2</v>
      </c>
      <c r="G23" s="905">
        <f>IF(A23="","",入力シート!J19)</f>
        <v>0.33333333333333331</v>
      </c>
      <c r="H23" s="906"/>
      <c r="I23" s="876">
        <f>入力シート!L19</f>
        <v>0.35416666666666663</v>
      </c>
      <c r="J23" s="877"/>
      <c r="K23" s="459" t="str">
        <f>IF(入力シート!P19="","",入力シート!P19)</f>
        <v/>
      </c>
      <c r="L23" s="460">
        <f>IF(A23="","",入力シート!O19)</f>
        <v>0</v>
      </c>
      <c r="M23" s="461">
        <f>IF(A23="","",入力シート!N19)</f>
        <v>0</v>
      </c>
      <c r="N23" s="462">
        <f>IF(A23="","",入力シート!M19)</f>
        <v>0</v>
      </c>
      <c r="O23" s="993" t="str">
        <f>IF(AND(OR(B23="土",B23="日",C23="祝",C23="休"),D23&lt;&gt;0),"休出",IF(入力シート!Q19="","",入力シート!Q19))</f>
        <v/>
      </c>
      <c r="P23" s="981"/>
      <c r="Q23" s="907" t="str">
        <f>IF(入力シート!AE19="","",入力シート!AE19)</f>
        <v/>
      </c>
      <c r="R23" s="908"/>
      <c r="S23" s="909"/>
      <c r="T23" s="910" t="str">
        <f>IF(入力シート!AF19="","",入力シート!AF19)</f>
        <v/>
      </c>
      <c r="U23" s="911"/>
      <c r="V23" s="911"/>
      <c r="W23" s="912"/>
    </row>
    <row r="24" spans="1:23" ht="41.25" customHeight="1">
      <c r="A24" s="453">
        <f>入力シート!A20</f>
        <v>44413</v>
      </c>
      <c r="B24" s="454" t="str">
        <f>入力シート!B20</f>
        <v>木</v>
      </c>
      <c r="C24" s="455" t="str">
        <f>入力シート!C20</f>
        <v/>
      </c>
      <c r="D24" s="456">
        <f>IF(A24="","",入力シート!E20)</f>
        <v>0.47916666666666663</v>
      </c>
      <c r="E24" s="457">
        <f>IF(A24="","",入力シート!G20)</f>
        <v>0.77083333333333326</v>
      </c>
      <c r="F24" s="458">
        <f>IF(A24="","",入力シート!I20)</f>
        <v>3.125E-2</v>
      </c>
      <c r="G24" s="905">
        <f>IF(A24="","",入力シート!J20)</f>
        <v>0.26041666666666663</v>
      </c>
      <c r="H24" s="906"/>
      <c r="I24" s="876">
        <f>入力シート!L20</f>
        <v>0.47916666666666663</v>
      </c>
      <c r="J24" s="877"/>
      <c r="K24" s="459" t="str">
        <f>IF(入力シート!P20="","",入力シート!P20)</f>
        <v/>
      </c>
      <c r="L24" s="460">
        <f>IF(A24="","",入力シート!O20)</f>
        <v>0</v>
      </c>
      <c r="M24" s="461">
        <f>IF(A24="","",入力シート!N20)</f>
        <v>0</v>
      </c>
      <c r="N24" s="462">
        <f>IF(A24="","",入力シート!M20)</f>
        <v>0</v>
      </c>
      <c r="O24" s="993" t="str">
        <f>IF(AND(OR(B24="土",B24="日",C24="祝",C24="休"),D24&lt;&gt;0),"休出",IF(入力シート!Q20="","",入力シート!Q20))</f>
        <v>遅刻</v>
      </c>
      <c r="P24" s="981"/>
      <c r="Q24" s="907" t="str">
        <f>IF(入力シート!AE20="","",入力シート!AE20)</f>
        <v/>
      </c>
      <c r="R24" s="908"/>
      <c r="S24" s="909"/>
      <c r="T24" s="910" t="str">
        <f>IF(入力シート!AF20="","",入力シート!AF20)</f>
        <v>通院</v>
      </c>
      <c r="U24" s="911"/>
      <c r="V24" s="911"/>
      <c r="W24" s="912"/>
    </row>
    <row r="25" spans="1:23" ht="41.25" customHeight="1">
      <c r="A25" s="453">
        <f>入力シート!A21</f>
        <v>44414</v>
      </c>
      <c r="B25" s="454" t="str">
        <f>入力シート!B21</f>
        <v>金</v>
      </c>
      <c r="C25" s="455" t="str">
        <f>入力シート!C21</f>
        <v/>
      </c>
      <c r="D25" s="456">
        <f>IF(A25="","",入力シート!E21)</f>
        <v>0.35416666666666663</v>
      </c>
      <c r="E25" s="457">
        <f>IF(A25="","",入力シート!G21)</f>
        <v>0.71875</v>
      </c>
      <c r="F25" s="458">
        <f>IF(A25="","",入力シート!I21)</f>
        <v>3.125E-2</v>
      </c>
      <c r="G25" s="905">
        <f>IF(A25="","",入力シート!J21)</f>
        <v>0.33333333333333331</v>
      </c>
      <c r="H25" s="906"/>
      <c r="I25" s="876">
        <f>入力シート!L21</f>
        <v>0.35416666666666663</v>
      </c>
      <c r="J25" s="877"/>
      <c r="K25" s="459" t="str">
        <f>IF(入力シート!P21="","",入力シート!P21)</f>
        <v/>
      </c>
      <c r="L25" s="460">
        <f>IF(A25="","",入力シート!O21)</f>
        <v>0</v>
      </c>
      <c r="M25" s="461">
        <f>IF(A25="","",入力シート!N21)</f>
        <v>0</v>
      </c>
      <c r="N25" s="462">
        <f>IF(A25="","",入力シート!M21)</f>
        <v>0</v>
      </c>
      <c r="O25" s="993" t="str">
        <f>IF(AND(OR(B25="土",B25="日",C25="祝",C25="休"),D25&lt;&gt;0),"休出",IF(入力シート!Q21="","",入力シート!Q21))</f>
        <v/>
      </c>
      <c r="P25" s="981"/>
      <c r="Q25" s="907" t="str">
        <f>IF(入力シート!AE21="","",入力シート!AE21)</f>
        <v/>
      </c>
      <c r="R25" s="908"/>
      <c r="S25" s="909"/>
      <c r="T25" s="910" t="str">
        <f>IF(入力シート!AF21="","",入力シート!AF21)</f>
        <v/>
      </c>
      <c r="U25" s="911"/>
      <c r="V25" s="911"/>
      <c r="W25" s="912"/>
    </row>
    <row r="26" spans="1:23" ht="41.25" customHeight="1">
      <c r="A26" s="453">
        <f>入力シート!A22</f>
        <v>44415</v>
      </c>
      <c r="B26" s="454" t="str">
        <f>入力シート!B22</f>
        <v>土</v>
      </c>
      <c r="C26" s="455" t="str">
        <f>入力シート!C22</f>
        <v/>
      </c>
      <c r="D26" s="456">
        <f>IF(A26="","",入力シート!E22)</f>
        <v>0</v>
      </c>
      <c r="E26" s="457">
        <f>IF(A26="","",入力シート!G22)</f>
        <v>0</v>
      </c>
      <c r="F26" s="458">
        <f>IF(A26="","",入力シート!I22)</f>
        <v>0</v>
      </c>
      <c r="G26" s="905">
        <f>IF(A26="","",入力シート!J22)</f>
        <v>0</v>
      </c>
      <c r="H26" s="906"/>
      <c r="I26" s="876">
        <f>入力シート!L22</f>
        <v>0</v>
      </c>
      <c r="J26" s="877"/>
      <c r="K26" s="459" t="str">
        <f>IF(入力シート!P22="","",入力シート!P22)</f>
        <v/>
      </c>
      <c r="L26" s="460">
        <f>IF(A26="","",入力シート!O22)</f>
        <v>0</v>
      </c>
      <c r="M26" s="461">
        <f>IF(A26="","",入力シート!N22)</f>
        <v>0</v>
      </c>
      <c r="N26" s="462">
        <f>IF(A26="","",入力シート!M22)</f>
        <v>0</v>
      </c>
      <c r="O26" s="993" t="str">
        <f>IF(AND(OR(B26="土",B26="日",C26="祝",C26="休"),D26&lt;&gt;0),"休出",IF(入力シート!Q22="","",入力シート!Q22))</f>
        <v/>
      </c>
      <c r="P26" s="981"/>
      <c r="Q26" s="907" t="str">
        <f>IF(入力シート!AE22="","",入力シート!AE22)</f>
        <v/>
      </c>
      <c r="R26" s="908"/>
      <c r="S26" s="909"/>
      <c r="T26" s="910" t="str">
        <f>IF(入力シート!AF22="","",入力シート!AF22)</f>
        <v/>
      </c>
      <c r="U26" s="911"/>
      <c r="V26" s="911"/>
      <c r="W26" s="912"/>
    </row>
    <row r="27" spans="1:23" ht="41.25" customHeight="1">
      <c r="A27" s="453">
        <f>入力シート!A23</f>
        <v>44416</v>
      </c>
      <c r="B27" s="454" t="str">
        <f>入力シート!B23</f>
        <v>日</v>
      </c>
      <c r="C27" s="455" t="str">
        <f>入力シート!C23</f>
        <v>祝</v>
      </c>
      <c r="D27" s="456">
        <f>IF(A27="","",入力シート!E23)</f>
        <v>0</v>
      </c>
      <c r="E27" s="457">
        <f>IF(A27="","",入力シート!G23)</f>
        <v>0</v>
      </c>
      <c r="F27" s="458">
        <f>IF(A27="","",入力シート!I23)</f>
        <v>0</v>
      </c>
      <c r="G27" s="905">
        <f>IF(A27="","",入力シート!J23)</f>
        <v>0</v>
      </c>
      <c r="H27" s="906"/>
      <c r="I27" s="876">
        <f>入力シート!L23</f>
        <v>0</v>
      </c>
      <c r="J27" s="877"/>
      <c r="K27" s="459" t="str">
        <f>IF(入力シート!P23="","",入力シート!P23)</f>
        <v/>
      </c>
      <c r="L27" s="460">
        <f>IF(A27="","",入力シート!O23)</f>
        <v>0</v>
      </c>
      <c r="M27" s="461">
        <f>IF(A27="","",入力シート!N23)</f>
        <v>0</v>
      </c>
      <c r="N27" s="462">
        <f>IF(A27="","",入力シート!M23)</f>
        <v>0</v>
      </c>
      <c r="O27" s="993" t="str">
        <f>IF(AND(OR(B27="土",B27="日",C27="祝",C27="休"),D27&lt;&gt;0),"休出",IF(入力シート!Q23="","",入力シート!Q23))</f>
        <v/>
      </c>
      <c r="P27" s="981"/>
      <c r="Q27" s="907" t="str">
        <f>IF(入力シート!AE23="","",入力シート!AE23)</f>
        <v/>
      </c>
      <c r="R27" s="908"/>
      <c r="S27" s="909"/>
      <c r="T27" s="910" t="str">
        <f>IF(入力シート!AF23="","",入力シート!AF23)</f>
        <v/>
      </c>
      <c r="U27" s="911"/>
      <c r="V27" s="911"/>
      <c r="W27" s="912"/>
    </row>
    <row r="28" spans="1:23" ht="41.25" customHeight="1">
      <c r="A28" s="453">
        <f>入力シート!A24</f>
        <v>44417</v>
      </c>
      <c r="B28" s="454" t="str">
        <f>入力シート!B24</f>
        <v>月</v>
      </c>
      <c r="C28" s="455" t="str">
        <f>入力シート!C24</f>
        <v>祝</v>
      </c>
      <c r="D28" s="456">
        <f>IF(A28="","",入力シート!E24)</f>
        <v>0</v>
      </c>
      <c r="E28" s="457">
        <f>IF(A28="","",入力シート!G24)</f>
        <v>0</v>
      </c>
      <c r="F28" s="458">
        <f>IF(A28="","",入力シート!I24)</f>
        <v>0</v>
      </c>
      <c r="G28" s="905">
        <f>IF(A28="","",入力シート!J24)</f>
        <v>0</v>
      </c>
      <c r="H28" s="906"/>
      <c r="I28" s="876">
        <f>入力シート!L24</f>
        <v>0</v>
      </c>
      <c r="J28" s="877"/>
      <c r="K28" s="459" t="str">
        <f>IF(入力シート!P24="","",入力シート!P24)</f>
        <v/>
      </c>
      <c r="L28" s="460">
        <f>IF(A28="","",入力シート!O24)</f>
        <v>0</v>
      </c>
      <c r="M28" s="461">
        <f>IF(A28="","",入力シート!N24)</f>
        <v>0</v>
      </c>
      <c r="N28" s="462">
        <f>IF(A28="","",入力シート!M24)</f>
        <v>0</v>
      </c>
      <c r="O28" s="993" t="str">
        <f>IF(AND(OR(B28="土",B28="日",C28="祝",C28="休"),D28&lt;&gt;0),"休出",IF(入力シート!Q24="","",入力シート!Q24))</f>
        <v/>
      </c>
      <c r="P28" s="981"/>
      <c r="Q28" s="907" t="str">
        <f>IF(入力シート!AE24="","",入力シート!AE24)</f>
        <v/>
      </c>
      <c r="R28" s="908"/>
      <c r="S28" s="909"/>
      <c r="T28" s="910" t="str">
        <f>IF(入力シート!AF24="","",入力シート!AF24)</f>
        <v>夏季休暇</v>
      </c>
      <c r="U28" s="911"/>
      <c r="V28" s="911"/>
      <c r="W28" s="912"/>
    </row>
    <row r="29" spans="1:23" ht="41.25" customHeight="1">
      <c r="A29" s="453">
        <f>入力シート!A25</f>
        <v>44418</v>
      </c>
      <c r="B29" s="454" t="str">
        <f>入力シート!B25</f>
        <v>火</v>
      </c>
      <c r="C29" s="455" t="str">
        <f>入力シート!C25</f>
        <v/>
      </c>
      <c r="D29" s="456">
        <f>IF(A29="","",入力シート!E25)</f>
        <v>0</v>
      </c>
      <c r="E29" s="457">
        <f>IF(A29="","",入力シート!G25)</f>
        <v>0</v>
      </c>
      <c r="F29" s="458">
        <f>IF(A29="","",入力シート!I25)</f>
        <v>0</v>
      </c>
      <c r="G29" s="905">
        <f>IF(A29="","",入力シート!J25)</f>
        <v>0</v>
      </c>
      <c r="H29" s="906"/>
      <c r="I29" s="876">
        <f>入力シート!L25</f>
        <v>0</v>
      </c>
      <c r="J29" s="877"/>
      <c r="K29" s="459" t="str">
        <f>IF(入力シート!P25="","",入力シート!P25)</f>
        <v/>
      </c>
      <c r="L29" s="460">
        <f>IF(A29="","",入力シート!O25)</f>
        <v>0</v>
      </c>
      <c r="M29" s="461">
        <f>IF(A29="","",入力シート!N25)</f>
        <v>0</v>
      </c>
      <c r="N29" s="462">
        <f>IF(A29="","",入力シート!M25)</f>
        <v>0</v>
      </c>
      <c r="O29" s="993" t="str">
        <f>IF(AND(OR(B29="土",B29="日",C29="祝",C29="休"),D29&lt;&gt;0),"休出",IF(入力シート!Q25="","",入力シート!Q25))</f>
        <v/>
      </c>
      <c r="P29" s="981"/>
      <c r="Q29" s="907" t="str">
        <f>IF(入力シート!AE25="","",入力シート!AE25)</f>
        <v/>
      </c>
      <c r="R29" s="908"/>
      <c r="S29" s="909"/>
      <c r="T29" s="910" t="str">
        <f>IF(入力シート!AF25="","",入力シート!AF25)</f>
        <v>夏季休暇</v>
      </c>
      <c r="U29" s="911"/>
      <c r="V29" s="911"/>
      <c r="W29" s="912"/>
    </row>
    <row r="30" spans="1:23" ht="41.25" customHeight="1">
      <c r="A30" s="453">
        <f>入力シート!A26</f>
        <v>44419</v>
      </c>
      <c r="B30" s="454" t="str">
        <f>入力シート!B26</f>
        <v>水</v>
      </c>
      <c r="C30" s="455" t="str">
        <f>入力シート!C26</f>
        <v/>
      </c>
      <c r="D30" s="456">
        <f>IF(A30="","",入力シート!E26)</f>
        <v>0</v>
      </c>
      <c r="E30" s="457">
        <f>IF(A30="","",入力シート!G26)</f>
        <v>0</v>
      </c>
      <c r="F30" s="458">
        <f>IF(A30="","",入力シート!I26)</f>
        <v>0</v>
      </c>
      <c r="G30" s="905">
        <f>IF(A30="","",入力シート!J26)</f>
        <v>0</v>
      </c>
      <c r="H30" s="906"/>
      <c r="I30" s="876">
        <f>入力シート!L26</f>
        <v>0</v>
      </c>
      <c r="J30" s="877"/>
      <c r="K30" s="459" t="str">
        <f>IF(入力シート!P26="","",入力シート!P26)</f>
        <v/>
      </c>
      <c r="L30" s="460">
        <f>IF(A30="","",入力シート!O26)</f>
        <v>0</v>
      </c>
      <c r="M30" s="461">
        <f>IF(A30="","",入力シート!N26)</f>
        <v>0</v>
      </c>
      <c r="N30" s="462">
        <f>IF(A30="","",入力シート!M26)</f>
        <v>0</v>
      </c>
      <c r="O30" s="993" t="str">
        <f>IF(AND(OR(B30="土",B30="日",C30="祝",C30="休"),D30&lt;&gt;0),"休出",IF(入力シート!Q26="","",入力シート!Q26))</f>
        <v/>
      </c>
      <c r="P30" s="981"/>
      <c r="Q30" s="907" t="str">
        <f>IF(入力シート!AE26="","",入力シート!AE26)</f>
        <v/>
      </c>
      <c r="R30" s="908"/>
      <c r="S30" s="909"/>
      <c r="T30" s="910" t="str">
        <f>IF(入力シート!AF26="","",入力シート!AF26)</f>
        <v>夏季休暇</v>
      </c>
      <c r="U30" s="911"/>
      <c r="V30" s="911"/>
      <c r="W30" s="912"/>
    </row>
    <row r="31" spans="1:23" ht="41.25" customHeight="1">
      <c r="A31" s="453">
        <f>入力シート!A27</f>
        <v>44420</v>
      </c>
      <c r="B31" s="454" t="str">
        <f>入力シート!B27</f>
        <v>木</v>
      </c>
      <c r="C31" s="455" t="str">
        <f>入力シート!C27</f>
        <v/>
      </c>
      <c r="D31" s="456">
        <f>IF(A31="","",入力シート!E27)</f>
        <v>0</v>
      </c>
      <c r="E31" s="457">
        <f>IF(A31="","",入力シート!G27)</f>
        <v>0</v>
      </c>
      <c r="F31" s="458">
        <f>IF(A31="","",入力シート!I27)</f>
        <v>0</v>
      </c>
      <c r="G31" s="905">
        <f>IF(A31="","",入力シート!J27)</f>
        <v>0</v>
      </c>
      <c r="H31" s="906"/>
      <c r="I31" s="876">
        <f>入力シート!L27</f>
        <v>0</v>
      </c>
      <c r="J31" s="877"/>
      <c r="K31" s="459" t="str">
        <f>IF(入力シート!P27="","",入力シート!P27)</f>
        <v/>
      </c>
      <c r="L31" s="460">
        <f>IF(A31="","",入力シート!O27)</f>
        <v>0</v>
      </c>
      <c r="M31" s="461">
        <f>IF(A31="","",入力シート!N27)</f>
        <v>0</v>
      </c>
      <c r="N31" s="462">
        <f>IF(A31="","",入力シート!M27)</f>
        <v>0</v>
      </c>
      <c r="O31" s="993" t="str">
        <f>IF(AND(OR(B31="土",B31="日",C31="祝",C31="休"),D31&lt;&gt;0),"休出",IF(入力シート!Q27="","",入力シート!Q27))</f>
        <v/>
      </c>
      <c r="P31" s="981"/>
      <c r="Q31" s="907" t="str">
        <f>IF(入力シート!AE27="","",入力シート!AE27)</f>
        <v/>
      </c>
      <c r="R31" s="908"/>
      <c r="S31" s="909"/>
      <c r="T31" s="910" t="str">
        <f>IF(入力シート!AF27="","",入力シート!AF27)</f>
        <v>夏季休暇</v>
      </c>
      <c r="U31" s="911"/>
      <c r="V31" s="911"/>
      <c r="W31" s="912"/>
    </row>
    <row r="32" spans="1:23" ht="41.25" customHeight="1">
      <c r="A32" s="453">
        <f>入力シート!A28</f>
        <v>44421</v>
      </c>
      <c r="B32" s="454" t="str">
        <f>入力シート!B28</f>
        <v>金</v>
      </c>
      <c r="C32" s="455" t="str">
        <f>入力シート!C28</f>
        <v/>
      </c>
      <c r="D32" s="456">
        <f>IF(A32="","",入力シート!E28)</f>
        <v>0</v>
      </c>
      <c r="E32" s="457">
        <f>IF(A32="","",入力シート!G28)</f>
        <v>0</v>
      </c>
      <c r="F32" s="458">
        <f>IF(A32="","",入力シート!I28)</f>
        <v>0</v>
      </c>
      <c r="G32" s="905">
        <f>IF(A32="","",入力シート!J28)</f>
        <v>0</v>
      </c>
      <c r="H32" s="906"/>
      <c r="I32" s="876">
        <f>入力シート!L28</f>
        <v>0</v>
      </c>
      <c r="J32" s="877"/>
      <c r="K32" s="459" t="str">
        <f>IF(入力シート!P28="","",入力シート!P28)</f>
        <v/>
      </c>
      <c r="L32" s="460">
        <f>IF(A32="","",入力シート!O28)</f>
        <v>0</v>
      </c>
      <c r="M32" s="461">
        <f>IF(A32="","",入力シート!N28)</f>
        <v>0</v>
      </c>
      <c r="N32" s="462">
        <f>IF(A32="","",入力シート!M28)</f>
        <v>0</v>
      </c>
      <c r="O32" s="993" t="str">
        <f>IF(AND(OR(B32="土",B32="日",C32="祝",C32="休"),D32&lt;&gt;0),"休出",IF(入力シート!Q28="","",入力シート!Q28))</f>
        <v/>
      </c>
      <c r="P32" s="981"/>
      <c r="Q32" s="907" t="str">
        <f>IF(入力シート!AE28="","",入力シート!AE28)</f>
        <v/>
      </c>
      <c r="R32" s="908"/>
      <c r="S32" s="909"/>
      <c r="T32" s="910" t="str">
        <f>IF(入力シート!AF28="","",入力シート!AF28)</f>
        <v>夏季休暇</v>
      </c>
      <c r="U32" s="911"/>
      <c r="V32" s="911"/>
      <c r="W32" s="912"/>
    </row>
    <row r="33" spans="1:23" ht="41.25" customHeight="1">
      <c r="A33" s="453">
        <f>入力シート!A29</f>
        <v>44422</v>
      </c>
      <c r="B33" s="454" t="str">
        <f>入力シート!B29</f>
        <v>土</v>
      </c>
      <c r="C33" s="455" t="str">
        <f>入力シート!C29</f>
        <v/>
      </c>
      <c r="D33" s="456">
        <f>IF(A33="","",入力シート!E29)</f>
        <v>0</v>
      </c>
      <c r="E33" s="457">
        <f>IF(A33="","",入力シート!G29)</f>
        <v>0</v>
      </c>
      <c r="F33" s="458">
        <f>IF(A33="","",入力シート!I29)</f>
        <v>0</v>
      </c>
      <c r="G33" s="905">
        <f>IF(A33="","",入力シート!J29)</f>
        <v>0</v>
      </c>
      <c r="H33" s="906"/>
      <c r="I33" s="876">
        <f>入力シート!L29</f>
        <v>0</v>
      </c>
      <c r="J33" s="877"/>
      <c r="K33" s="459" t="str">
        <f>IF(入力シート!P29="","",入力シート!P29)</f>
        <v/>
      </c>
      <c r="L33" s="460">
        <f>IF(A33="","",入力シート!O29)</f>
        <v>0</v>
      </c>
      <c r="M33" s="461">
        <f>IF(A33="","",入力シート!N29)</f>
        <v>0</v>
      </c>
      <c r="N33" s="462">
        <f>IF(A33="","",入力シート!M29)</f>
        <v>0</v>
      </c>
      <c r="O33" s="993" t="str">
        <f>IF(AND(OR(B33="土",B33="日",C33="祝",C33="休"),D33&lt;&gt;0),"休出",IF(入力シート!Q29="","",入力シート!Q29))</f>
        <v/>
      </c>
      <c r="P33" s="981"/>
      <c r="Q33" s="907" t="str">
        <f>IF(入力シート!AE29="","",入力シート!AE29)</f>
        <v/>
      </c>
      <c r="R33" s="908"/>
      <c r="S33" s="909"/>
      <c r="T33" s="910" t="str">
        <f>IF(入力シート!AF29="","",入力シート!AF29)</f>
        <v/>
      </c>
      <c r="U33" s="911"/>
      <c r="V33" s="911"/>
      <c r="W33" s="912"/>
    </row>
    <row r="34" spans="1:23" ht="41.25" customHeight="1">
      <c r="A34" s="453">
        <f>入力シート!A30</f>
        <v>44423</v>
      </c>
      <c r="B34" s="454" t="str">
        <f>入力シート!B30</f>
        <v>日</v>
      </c>
      <c r="C34" s="455" t="str">
        <f>入力シート!C30</f>
        <v/>
      </c>
      <c r="D34" s="456">
        <f>IF(A34="","",入力シート!E30)</f>
        <v>0</v>
      </c>
      <c r="E34" s="457">
        <f>IF(A34="","",入力シート!G30)</f>
        <v>0</v>
      </c>
      <c r="F34" s="458">
        <f>IF(A34="","",入力シート!I30)</f>
        <v>0</v>
      </c>
      <c r="G34" s="905">
        <f>IF(A34="","",入力シート!J30)</f>
        <v>0</v>
      </c>
      <c r="H34" s="906"/>
      <c r="I34" s="876">
        <f>入力シート!L30</f>
        <v>0</v>
      </c>
      <c r="J34" s="877"/>
      <c r="K34" s="459" t="str">
        <f>IF(入力シート!P30="","",入力シート!P30)</f>
        <v/>
      </c>
      <c r="L34" s="460">
        <f>IF(A34="","",入力シート!O30)</f>
        <v>0</v>
      </c>
      <c r="M34" s="461">
        <f>IF(A34="","",入力シート!N30)</f>
        <v>0</v>
      </c>
      <c r="N34" s="462">
        <f>IF(A34="","",入力シート!M30)</f>
        <v>0</v>
      </c>
      <c r="O34" s="993" t="str">
        <f>IF(AND(OR(B34="土",B34="日",C34="祝",C34="休"),D34&lt;&gt;0),"休出",IF(入力シート!Q30="","",入力シート!Q30))</f>
        <v/>
      </c>
      <c r="P34" s="981"/>
      <c r="Q34" s="907" t="str">
        <f>IF(入力シート!AE30="","",入力シート!AE30)</f>
        <v/>
      </c>
      <c r="R34" s="908"/>
      <c r="S34" s="909"/>
      <c r="T34" s="910" t="str">
        <f>IF(入力シート!AF30="","",入力シート!AF30)</f>
        <v/>
      </c>
      <c r="U34" s="911"/>
      <c r="V34" s="911"/>
      <c r="W34" s="912"/>
    </row>
    <row r="35" spans="1:23" ht="41.25" customHeight="1">
      <c r="A35" s="453">
        <f>入力シート!A31</f>
        <v>44424</v>
      </c>
      <c r="B35" s="454" t="str">
        <f>入力シート!B31</f>
        <v>月</v>
      </c>
      <c r="C35" s="455" t="str">
        <f>入力シート!C31</f>
        <v/>
      </c>
      <c r="D35" s="456">
        <f>IF(A35="","",入力シート!E31)</f>
        <v>0.35416666666666663</v>
      </c>
      <c r="E35" s="457">
        <f>IF(A35="","",入力シート!G31)</f>
        <v>0.79166666666666663</v>
      </c>
      <c r="F35" s="458">
        <f>IF(A35="","",入力シート!I31)</f>
        <v>3.125E-2</v>
      </c>
      <c r="G35" s="905">
        <f>IF(A35="","",入力シート!J31)</f>
        <v>0.40625</v>
      </c>
      <c r="H35" s="906"/>
      <c r="I35" s="876">
        <f>入力シート!L31</f>
        <v>0.35416666666666663</v>
      </c>
      <c r="J35" s="877"/>
      <c r="K35" s="459" t="str">
        <f>IF(入力シート!P31="","",入力シート!P31)</f>
        <v/>
      </c>
      <c r="L35" s="460">
        <f>IF(A35="","",入力シート!O31)</f>
        <v>7.2916666666666685E-2</v>
      </c>
      <c r="M35" s="461">
        <f>IF(A35="","",入力シート!N31)</f>
        <v>0</v>
      </c>
      <c r="N35" s="462">
        <f>IF(A35="","",入力シート!M31)</f>
        <v>7.2916666666666685E-2</v>
      </c>
      <c r="O35" s="993" t="str">
        <f>IF(AND(OR(B35="土",B35="日",C35="祝",C35="休"),D35&lt;&gt;0),"休出",IF(入力シート!Q31="","",入力シート!Q31))</f>
        <v/>
      </c>
      <c r="P35" s="981"/>
      <c r="Q35" s="907" t="str">
        <f>IF(入力シート!AE31="","",入力シート!AE31)</f>
        <v/>
      </c>
      <c r="R35" s="908"/>
      <c r="S35" s="909"/>
      <c r="T35" s="910" t="str">
        <f>IF(入力シート!AF31="","",入力シート!AF31)</f>
        <v/>
      </c>
      <c r="U35" s="911"/>
      <c r="V35" s="911"/>
      <c r="W35" s="912"/>
    </row>
    <row r="36" spans="1:23" ht="41.25" customHeight="1">
      <c r="A36" s="453">
        <f>入力シート!A32</f>
        <v>44425</v>
      </c>
      <c r="B36" s="454" t="str">
        <f>入力シート!B32</f>
        <v>火</v>
      </c>
      <c r="C36" s="455" t="str">
        <f>入力シート!C32</f>
        <v/>
      </c>
      <c r="D36" s="456">
        <f>IF(A36="","",入力シート!E32)</f>
        <v>0.35416666666666663</v>
      </c>
      <c r="E36" s="457">
        <f>IF(A36="","",入力シート!G32)</f>
        <v>0.72916666666666663</v>
      </c>
      <c r="F36" s="458">
        <f>IF(A36="","",入力シート!I32)</f>
        <v>3.125E-2</v>
      </c>
      <c r="G36" s="905">
        <f>IF(A36="","",入力シート!J32)</f>
        <v>0.34375</v>
      </c>
      <c r="H36" s="906"/>
      <c r="I36" s="876">
        <f>入力シート!L32</f>
        <v>0.35416666666666663</v>
      </c>
      <c r="J36" s="877"/>
      <c r="K36" s="459" t="str">
        <f>IF(入力シート!P32="","",入力シート!P32)</f>
        <v/>
      </c>
      <c r="L36" s="460">
        <f>IF(A36="","",入力シート!O32)</f>
        <v>1.0416666666666685E-2</v>
      </c>
      <c r="M36" s="461">
        <f>IF(A36="","",入力シート!N32)</f>
        <v>0</v>
      </c>
      <c r="N36" s="462">
        <f>IF(A36="","",入力シート!M32)</f>
        <v>1.0416666666666685E-2</v>
      </c>
      <c r="O36" s="993" t="str">
        <f>IF(AND(OR(B36="土",B36="日",C36="祝",C36="休"),D36&lt;&gt;0),"休出",IF(入力シート!Q32="","",入力シート!Q32))</f>
        <v/>
      </c>
      <c r="P36" s="981"/>
      <c r="Q36" s="907" t="str">
        <f>IF(入力シート!AE32="","",入力シート!AE32)</f>
        <v/>
      </c>
      <c r="R36" s="908"/>
      <c r="S36" s="909"/>
      <c r="T36" s="910" t="str">
        <f>IF(入力シート!AF32="","",入力シート!AF32)</f>
        <v/>
      </c>
      <c r="U36" s="911"/>
      <c r="V36" s="911"/>
      <c r="W36" s="912"/>
    </row>
    <row r="37" spans="1:23" ht="41.25" customHeight="1">
      <c r="A37" s="453">
        <f>入力シート!A33</f>
        <v>44426</v>
      </c>
      <c r="B37" s="454" t="str">
        <f>入力シート!B33</f>
        <v>水</v>
      </c>
      <c r="C37" s="455" t="str">
        <f>入力シート!C33</f>
        <v/>
      </c>
      <c r="D37" s="456">
        <f>IF(A37="","",入力シート!E33)</f>
        <v>0.35416666666666663</v>
      </c>
      <c r="E37" s="457">
        <f>IF(A37="","",入力シート!G33)</f>
        <v>0.71875</v>
      </c>
      <c r="F37" s="458">
        <f>IF(A37="","",入力シート!I33)</f>
        <v>3.125E-2</v>
      </c>
      <c r="G37" s="905">
        <f>IF(A37="","",入力シート!J33)</f>
        <v>0.33333333333333331</v>
      </c>
      <c r="H37" s="906"/>
      <c r="I37" s="876">
        <f>入力シート!L33</f>
        <v>0.35416666666666663</v>
      </c>
      <c r="J37" s="877"/>
      <c r="K37" s="459" t="str">
        <f>IF(入力シート!P33="","",入力シート!P33)</f>
        <v/>
      </c>
      <c r="L37" s="460">
        <f>IF(A37="","",入力シート!O33)</f>
        <v>0</v>
      </c>
      <c r="M37" s="461">
        <f>IF(A37="","",入力シート!N33)</f>
        <v>0</v>
      </c>
      <c r="N37" s="462">
        <f>IF(A37="","",入力シート!M33)</f>
        <v>0</v>
      </c>
      <c r="O37" s="993" t="str">
        <f>IF(AND(OR(B37="土",B37="日",C37="祝",C37="休"),D37&lt;&gt;0),"休出",IF(入力シート!Q33="","",入力シート!Q33))</f>
        <v/>
      </c>
      <c r="P37" s="981"/>
      <c r="Q37" s="907" t="str">
        <f>IF(入力シート!AE33="","",入力シート!AE33)</f>
        <v/>
      </c>
      <c r="R37" s="908"/>
      <c r="S37" s="909"/>
      <c r="T37" s="910" t="str">
        <f>IF(入力シート!AF33="","",入力シート!AF33)</f>
        <v/>
      </c>
      <c r="U37" s="911"/>
      <c r="V37" s="911"/>
      <c r="W37" s="912"/>
    </row>
    <row r="38" spans="1:23" ht="41.25" customHeight="1">
      <c r="A38" s="453">
        <f>入力シート!A34</f>
        <v>44427</v>
      </c>
      <c r="B38" s="454" t="str">
        <f>入力シート!B34</f>
        <v>木</v>
      </c>
      <c r="C38" s="455" t="str">
        <f>入力シート!C34</f>
        <v/>
      </c>
      <c r="D38" s="456">
        <f>IF(A38="","",入力シート!E34)</f>
        <v>0.35416666666666663</v>
      </c>
      <c r="E38" s="457">
        <f>IF(A38="","",入力シート!G34)</f>
        <v>0.71875</v>
      </c>
      <c r="F38" s="458">
        <f>IF(A38="","",入力シート!I34)</f>
        <v>3.125E-2</v>
      </c>
      <c r="G38" s="905">
        <f>IF(A38="","",入力シート!J34)</f>
        <v>0.33333333333333331</v>
      </c>
      <c r="H38" s="906"/>
      <c r="I38" s="876">
        <f>入力シート!L34</f>
        <v>0.35416666666666663</v>
      </c>
      <c r="J38" s="877"/>
      <c r="K38" s="459" t="str">
        <f>IF(入力シート!P34="","",入力シート!P34)</f>
        <v/>
      </c>
      <c r="L38" s="460">
        <f>IF(A38="","",入力シート!O34)</f>
        <v>0</v>
      </c>
      <c r="M38" s="461">
        <f>IF(A38="","",入力シート!N34)</f>
        <v>0</v>
      </c>
      <c r="N38" s="462">
        <f>IF(A38="","",入力シート!M34)</f>
        <v>0</v>
      </c>
      <c r="O38" s="993" t="str">
        <f>IF(AND(OR(B38="土",B38="日",C38="祝",C38="休"),D38&lt;&gt;0),"休出",IF(入力シート!Q34="","",入力シート!Q34))</f>
        <v/>
      </c>
      <c r="P38" s="981"/>
      <c r="Q38" s="907" t="str">
        <f>IF(入力シート!AE34="","",入力シート!AE34)</f>
        <v/>
      </c>
      <c r="R38" s="908"/>
      <c r="S38" s="909"/>
      <c r="T38" s="910" t="str">
        <f>IF(入力シート!AF34="","",入力シート!AF34)</f>
        <v/>
      </c>
      <c r="U38" s="911"/>
      <c r="V38" s="911"/>
      <c r="W38" s="912"/>
    </row>
    <row r="39" spans="1:23" ht="41.25" customHeight="1" thickBot="1">
      <c r="A39" s="463">
        <f>入力シート!A35</f>
        <v>44428</v>
      </c>
      <c r="B39" s="464" t="str">
        <f>入力シート!B35</f>
        <v>金</v>
      </c>
      <c r="C39" s="465" t="str">
        <f>入力シート!C35</f>
        <v/>
      </c>
      <c r="D39" s="456">
        <f>IF(A39="","",入力シート!E35)</f>
        <v>0.35416666666666663</v>
      </c>
      <c r="E39" s="457">
        <f>IF(A39="","",入力シート!G35)</f>
        <v>0.72916666666666663</v>
      </c>
      <c r="F39" s="458">
        <f>IF(A39="","",入力シート!I35)</f>
        <v>3.125E-2</v>
      </c>
      <c r="G39" s="1006">
        <f>IF(A39="","",入力シート!J35)</f>
        <v>0.34375</v>
      </c>
      <c r="H39" s="1007"/>
      <c r="I39" s="900">
        <f>入力シート!L35</f>
        <v>0.35416666666666663</v>
      </c>
      <c r="J39" s="901"/>
      <c r="K39" s="466" t="str">
        <f>IF(入力シート!P35="","",入力シート!P35)</f>
        <v/>
      </c>
      <c r="L39" s="460">
        <f>IF(A39="","",入力シート!O35)</f>
        <v>1.0416666666666685E-2</v>
      </c>
      <c r="M39" s="461">
        <f>IF(A39="","",入力シート!N35)</f>
        <v>0</v>
      </c>
      <c r="N39" s="462">
        <f>IF(A39="","",入力シート!M35)</f>
        <v>1.0416666666666685E-2</v>
      </c>
      <c r="O39" s="1002" t="str">
        <f>IF(AND(OR(B39="土",B39="日",C39="祝",C39="休"),D39&lt;&gt;0),"休出",IF(入力シート!Q35="","",入力シート!Q35))</f>
        <v/>
      </c>
      <c r="P39" s="1003"/>
      <c r="Q39" s="924" t="str">
        <f>IF(入力シート!AE35="","",入力シート!AE35)</f>
        <v/>
      </c>
      <c r="R39" s="925"/>
      <c r="S39" s="926"/>
      <c r="T39" s="927" t="str">
        <f>IF(入力シート!AF35="","",入力シート!AF35)</f>
        <v/>
      </c>
      <c r="U39" s="928"/>
      <c r="V39" s="928"/>
      <c r="W39" s="929"/>
    </row>
    <row r="40" spans="1:23" ht="41.25" customHeight="1" thickTop="1">
      <c r="A40" s="902" t="s">
        <v>662</v>
      </c>
      <c r="B40" s="903"/>
      <c r="C40" s="903"/>
      <c r="D40" s="903"/>
      <c r="E40" s="904"/>
      <c r="F40" s="467">
        <f>SUM(F9:F39)</f>
        <v>0.46875</v>
      </c>
      <c r="G40" s="1004">
        <f>SUM(G9:G39)</f>
        <v>5.0937499999999991</v>
      </c>
      <c r="H40" s="1005"/>
      <c r="I40" s="878">
        <f>SUM(I9:I39)</f>
        <v>5.479166666666667</v>
      </c>
      <c r="J40" s="879"/>
      <c r="K40" s="468"/>
      <c r="L40" s="469">
        <f>SUM(L9:L39)</f>
        <v>0.20833333333333343</v>
      </c>
      <c r="M40" s="468">
        <f>SUM(M9:M39)</f>
        <v>0</v>
      </c>
      <c r="N40" s="470">
        <f>SUM(N9:N39)</f>
        <v>0.20833333333333343</v>
      </c>
      <c r="O40" s="998" t="s">
        <v>663</v>
      </c>
      <c r="P40" s="999"/>
      <c r="Q40" s="921" t="s">
        <v>664</v>
      </c>
      <c r="R40" s="922"/>
      <c r="S40" s="922"/>
      <c r="T40" s="922"/>
      <c r="U40" s="922"/>
      <c r="V40" s="922"/>
      <c r="W40" s="923"/>
    </row>
    <row r="41" spans="1:23" ht="41.25" customHeight="1">
      <c r="A41" s="894" t="s">
        <v>665</v>
      </c>
      <c r="B41" s="895"/>
      <c r="C41" s="895"/>
      <c r="D41" s="895"/>
      <c r="E41" s="896"/>
      <c r="F41" s="533"/>
      <c r="G41" s="1010"/>
      <c r="H41" s="1011"/>
      <c r="I41" s="883"/>
      <c r="J41" s="879"/>
      <c r="K41" s="534"/>
      <c r="L41" s="535"/>
      <c r="M41" s="534"/>
      <c r="N41" s="237">
        <f>SUM(L41:M41)</f>
        <v>0</v>
      </c>
      <c r="O41" s="1000">
        <f>入力シート!D43</f>
        <v>0</v>
      </c>
      <c r="P41" s="1001"/>
      <c r="Q41" s="562" t="s">
        <v>666</v>
      </c>
      <c r="R41" s="930" t="str">
        <f>IF(入力シート!J39="","",入力シート!J39)</f>
        <v/>
      </c>
      <c r="S41" s="931"/>
      <c r="T41" s="931"/>
      <c r="U41" s="931"/>
      <c r="V41" s="931"/>
      <c r="W41" s="932"/>
    </row>
    <row r="42" spans="1:23" ht="41.25" customHeight="1">
      <c r="A42" s="894" t="s">
        <v>667</v>
      </c>
      <c r="B42" s="895"/>
      <c r="C42" s="895"/>
      <c r="D42" s="895"/>
      <c r="E42" s="896"/>
      <c r="F42" s="536"/>
      <c r="G42" s="1008"/>
      <c r="H42" s="1009"/>
      <c r="I42" s="882"/>
      <c r="J42" s="879"/>
      <c r="K42" s="537"/>
      <c r="L42" s="538"/>
      <c r="M42" s="537"/>
      <c r="N42" s="238">
        <f>SUM(L42:M42)</f>
        <v>0</v>
      </c>
      <c r="O42" s="540">
        <f>IF(入力シート!A2=12,1,入力シート!A2+1)</f>
        <v>9</v>
      </c>
      <c r="P42" s="701" t="s">
        <v>668</v>
      </c>
      <c r="Q42" s="919" t="s">
        <v>669</v>
      </c>
      <c r="R42" s="913" t="str">
        <f>IF(入力シート!H42="","",入力シート!H42)</f>
        <v/>
      </c>
      <c r="S42" s="914"/>
      <c r="T42" s="914"/>
      <c r="U42" s="914"/>
      <c r="V42" s="914"/>
      <c r="W42" s="915"/>
    </row>
    <row r="43" spans="1:23" ht="41.25" customHeight="1" thickBot="1">
      <c r="A43" s="897" t="s">
        <v>670</v>
      </c>
      <c r="B43" s="898"/>
      <c r="C43" s="898"/>
      <c r="D43" s="898"/>
      <c r="E43" s="899"/>
      <c r="F43" s="471">
        <f>F40+F41-F42</f>
        <v>0.46875</v>
      </c>
      <c r="G43" s="1012">
        <f>G40+G41-G42</f>
        <v>5.0937499999999991</v>
      </c>
      <c r="H43" s="1013"/>
      <c r="I43" s="880">
        <f>I40+I41-I42</f>
        <v>5.479166666666667</v>
      </c>
      <c r="J43" s="881"/>
      <c r="K43" s="472"/>
      <c r="L43" s="473">
        <f>L40+L41-L42</f>
        <v>0.20833333333333343</v>
      </c>
      <c r="M43" s="472">
        <f>M40+M41-M42</f>
        <v>0</v>
      </c>
      <c r="N43" s="474">
        <f>N40+N41-N42</f>
        <v>0.20833333333333343</v>
      </c>
      <c r="O43" s="996">
        <f>入力シート!D39</f>
        <v>0</v>
      </c>
      <c r="P43" s="997"/>
      <c r="Q43" s="920"/>
      <c r="R43" s="916"/>
      <c r="S43" s="917"/>
      <c r="T43" s="917"/>
      <c r="U43" s="917"/>
      <c r="V43" s="917"/>
      <c r="W43" s="918"/>
    </row>
    <row r="44" spans="1:23" ht="20.100000000000001" customHeight="1" thickTop="1" thickBot="1">
      <c r="A44" s="696"/>
      <c r="B44" s="696"/>
      <c r="C44" s="696"/>
      <c r="D44" s="696"/>
      <c r="E44" s="702"/>
      <c r="F44" s="696"/>
      <c r="G44" s="696"/>
      <c r="H44" s="696"/>
      <c r="I44" s="696"/>
      <c r="J44" s="696"/>
      <c r="K44" s="696"/>
      <c r="L44" s="696"/>
      <c r="M44" s="696"/>
      <c r="N44" s="696"/>
      <c r="O44" s="696"/>
      <c r="P44" s="696"/>
      <c r="Q44" s="696"/>
      <c r="R44" s="696"/>
      <c r="S44" s="696"/>
      <c r="T44" s="696"/>
      <c r="U44" s="699"/>
      <c r="V44" s="696"/>
      <c r="W44" s="696"/>
    </row>
    <row r="45" spans="1:23" ht="22.5" customHeight="1" thickTop="1">
      <c r="A45" s="884" t="s">
        <v>671</v>
      </c>
      <c r="B45" s="885"/>
      <c r="C45" s="885"/>
      <c r="D45" s="886"/>
      <c r="E45" s="890" t="s">
        <v>672</v>
      </c>
      <c r="F45" s="891"/>
      <c r="G45" s="869" t="s">
        <v>673</v>
      </c>
      <c r="H45" s="870"/>
      <c r="I45" s="864" t="s">
        <v>674</v>
      </c>
      <c r="J45" s="865"/>
      <c r="K45" s="866"/>
      <c r="L45" s="859" t="s">
        <v>548</v>
      </c>
      <c r="M45" s="600"/>
      <c r="N45" s="585" t="s">
        <v>675</v>
      </c>
      <c r="O45" s="586" t="s">
        <v>676</v>
      </c>
      <c r="P45" s="744" t="s">
        <v>654</v>
      </c>
      <c r="Q45" s="595"/>
      <c r="R45" s="475" t="s">
        <v>506</v>
      </c>
      <c r="S45" s="745"/>
      <c r="T45" s="585" t="s">
        <v>677</v>
      </c>
      <c r="U45" s="744" t="s">
        <v>678</v>
      </c>
      <c r="V45" s="586" t="s">
        <v>679</v>
      </c>
      <c r="W45" s="592" t="s">
        <v>680</v>
      </c>
    </row>
    <row r="46" spans="1:23" ht="34.5" customHeight="1" thickBot="1">
      <c r="A46" s="887"/>
      <c r="B46" s="888"/>
      <c r="C46" s="888"/>
      <c r="D46" s="889"/>
      <c r="E46" s="892"/>
      <c r="F46" s="893"/>
      <c r="G46" s="867" t="s">
        <v>681</v>
      </c>
      <c r="H46" s="868"/>
      <c r="I46" s="861" t="s">
        <v>681</v>
      </c>
      <c r="J46" s="862"/>
      <c r="K46" s="863"/>
      <c r="L46" s="860"/>
      <c r="M46" s="625" t="s">
        <v>682</v>
      </c>
      <c r="N46" s="601" t="s">
        <v>683</v>
      </c>
      <c r="O46" s="602" t="s">
        <v>675</v>
      </c>
      <c r="P46" s="603" t="s">
        <v>684</v>
      </c>
      <c r="Q46" s="596" t="s">
        <v>542</v>
      </c>
      <c r="R46" s="300" t="s">
        <v>641</v>
      </c>
      <c r="S46" s="587" t="s">
        <v>685</v>
      </c>
      <c r="T46" s="601" t="s">
        <v>686</v>
      </c>
      <c r="U46" s="604" t="s">
        <v>686</v>
      </c>
      <c r="V46" s="602" t="s">
        <v>686</v>
      </c>
      <c r="W46" s="605" t="s">
        <v>687</v>
      </c>
    </row>
    <row r="47" spans="1:23" ht="74.25" customHeight="1" thickTop="1">
      <c r="A47" s="528"/>
      <c r="B47" s="529"/>
      <c r="C47" s="529"/>
      <c r="D47" s="530"/>
      <c r="E47" s="579"/>
      <c r="F47" s="579"/>
      <c r="G47" s="874">
        <f>入力シート!D56</f>
        <v>20</v>
      </c>
      <c r="H47" s="875"/>
      <c r="I47" s="871">
        <f>入力シート!E56</f>
        <v>15</v>
      </c>
      <c r="J47" s="872"/>
      <c r="K47" s="873"/>
      <c r="L47" s="581">
        <f>入力シート!D63+M47</f>
        <v>0</v>
      </c>
      <c r="M47" s="582">
        <f>入力シート!F65</f>
        <v>0</v>
      </c>
      <c r="N47" s="581">
        <f>入力シート!E63</f>
        <v>0</v>
      </c>
      <c r="O47" s="582">
        <f>入力シート!F63</f>
        <v>0</v>
      </c>
      <c r="P47" s="590">
        <f>入力シート!D65</f>
        <v>15</v>
      </c>
      <c r="Q47" s="581">
        <f>入力シート!D59</f>
        <v>0</v>
      </c>
      <c r="R47" s="532">
        <f>入力シート!E59</f>
        <v>0</v>
      </c>
      <c r="S47" s="597">
        <f>入力シート!F59</f>
        <v>0</v>
      </c>
      <c r="T47" s="581">
        <f>入力シート!D61</f>
        <v>0</v>
      </c>
      <c r="U47" s="531">
        <f>入力シート!E61</f>
        <v>0</v>
      </c>
      <c r="V47" s="582">
        <f>入力シート!F61</f>
        <v>0</v>
      </c>
      <c r="W47" s="593">
        <f>入力シート!E65</f>
        <v>0</v>
      </c>
    </row>
    <row r="48" spans="1:23" s="432" customFormat="1" ht="52.5" customHeight="1" thickBot="1">
      <c r="A48" s="523"/>
      <c r="B48" s="524"/>
      <c r="C48" s="524"/>
      <c r="D48" s="525"/>
      <c r="E48" s="580"/>
      <c r="F48" s="580"/>
      <c r="G48" s="588"/>
      <c r="H48" s="570" t="s">
        <v>426</v>
      </c>
      <c r="I48" s="569"/>
      <c r="J48" s="580"/>
      <c r="K48" s="589" t="s">
        <v>426</v>
      </c>
      <c r="L48" s="583" t="s">
        <v>426</v>
      </c>
      <c r="M48" s="584" t="s">
        <v>426</v>
      </c>
      <c r="N48" s="583" t="s">
        <v>426</v>
      </c>
      <c r="O48" s="584" t="s">
        <v>426</v>
      </c>
      <c r="P48" s="591" t="s">
        <v>688</v>
      </c>
      <c r="Q48" s="598" t="s">
        <v>688</v>
      </c>
      <c r="R48" s="522" t="s">
        <v>688</v>
      </c>
      <c r="S48" s="599" t="s">
        <v>426</v>
      </c>
      <c r="T48" s="583" t="s">
        <v>426</v>
      </c>
      <c r="U48" s="521" t="s">
        <v>426</v>
      </c>
      <c r="V48" s="584" t="s">
        <v>426</v>
      </c>
      <c r="W48" s="594" t="s">
        <v>688</v>
      </c>
    </row>
    <row r="49" spans="1:23" ht="15.75" customHeight="1" thickTop="1">
      <c r="A49" s="703"/>
      <c r="B49" s="704"/>
      <c r="C49" s="704"/>
      <c r="D49" s="705"/>
      <c r="E49" s="696"/>
      <c r="F49" s="696"/>
      <c r="G49" s="696"/>
      <c r="H49" s="696"/>
      <c r="I49" s="696"/>
      <c r="J49" s="696"/>
      <c r="K49" s="696"/>
      <c r="L49" s="696"/>
      <c r="M49" s="696"/>
      <c r="N49" s="696"/>
      <c r="O49" s="696"/>
      <c r="P49" s="696"/>
      <c r="Q49" s="696"/>
      <c r="R49" s="696"/>
      <c r="S49" s="696"/>
      <c r="T49" s="696"/>
      <c r="U49" s="699"/>
      <c r="V49" s="696"/>
      <c r="W49" s="476" t="s">
        <v>689</v>
      </c>
    </row>
    <row r="50" spans="1:23" ht="33.75" customHeight="1">
      <c r="A50" s="696"/>
      <c r="B50" s="696"/>
      <c r="C50" s="696"/>
      <c r="D50" s="696"/>
      <c r="E50" s="696"/>
      <c r="F50" s="706"/>
      <c r="G50" s="696"/>
      <c r="H50" s="696"/>
      <c r="I50" s="696"/>
      <c r="J50" s="696"/>
      <c r="K50" s="696"/>
      <c r="L50" s="696"/>
      <c r="M50" s="696"/>
      <c r="N50" s="696"/>
      <c r="O50" s="696"/>
      <c r="P50" s="696"/>
      <c r="Q50" s="696"/>
      <c r="R50" s="696"/>
      <c r="S50" s="696"/>
      <c r="T50" s="696"/>
      <c r="U50" s="699"/>
      <c r="V50" s="696"/>
      <c r="W50" s="696"/>
    </row>
    <row r="51" spans="1:23" ht="33.75" customHeight="1">
      <c r="A51" s="696"/>
      <c r="B51" s="696"/>
      <c r="C51" s="696"/>
      <c r="D51" s="696"/>
      <c r="E51" s="696"/>
      <c r="F51" s="696"/>
      <c r="G51" s="696"/>
      <c r="H51" s="696"/>
      <c r="I51" s="696"/>
      <c r="J51" s="696"/>
      <c r="K51" s="696"/>
      <c r="L51" s="696"/>
      <c r="M51" s="696"/>
      <c r="N51" s="696"/>
      <c r="O51" s="696"/>
      <c r="P51" s="696"/>
      <c r="Q51" s="696"/>
      <c r="R51" s="696"/>
      <c r="S51" s="696"/>
      <c r="T51" s="696"/>
      <c r="U51" s="699"/>
      <c r="V51" s="696"/>
      <c r="W51" s="696"/>
    </row>
    <row r="52" spans="1:23" ht="33.75" customHeight="1">
      <c r="A52" s="696"/>
      <c r="B52" s="696"/>
      <c r="C52" s="696"/>
      <c r="D52" s="696"/>
      <c r="E52" s="696"/>
      <c r="F52" s="696"/>
      <c r="G52" s="696"/>
      <c r="H52" s="696"/>
      <c r="I52" s="696"/>
      <c r="J52" s="696"/>
      <c r="K52" s="696"/>
      <c r="L52" s="696"/>
      <c r="M52" s="696"/>
      <c r="N52" s="696"/>
      <c r="O52" s="696"/>
      <c r="P52" s="696"/>
      <c r="Q52" s="696"/>
      <c r="R52" s="696"/>
      <c r="S52" s="696"/>
      <c r="T52" s="696"/>
      <c r="U52" s="699"/>
      <c r="V52" s="696"/>
      <c r="W52" s="696"/>
    </row>
  </sheetData>
  <sheetProtection algorithmName="SHA-512" hashValue="s8jcSVwfMaTaveBK5cYTKWjfnQuHXSnoyyY/wSIRTNwE87bk78DXRr9K69W3r2lXf/yQYPtHykJ+2MqC/krjpw==" saltValue="70Dvsdw9ADH9yIsbIM8ZVQ==" spinCount="100000" sheet="1" objects="1" scenarios="1"/>
  <mergeCells count="213">
    <mergeCell ref="G19:H19"/>
    <mergeCell ref="G18:H18"/>
    <mergeCell ref="G17:H17"/>
    <mergeCell ref="G16:H16"/>
    <mergeCell ref="G15:H15"/>
    <mergeCell ref="G14:H14"/>
    <mergeCell ref="G42:H42"/>
    <mergeCell ref="G41:H41"/>
    <mergeCell ref="G43:H43"/>
    <mergeCell ref="G12:H12"/>
    <mergeCell ref="G11:H11"/>
    <mergeCell ref="G10:H10"/>
    <mergeCell ref="G40:H40"/>
    <mergeCell ref="G39:H39"/>
    <mergeCell ref="G38:H38"/>
    <mergeCell ref="G37:H37"/>
    <mergeCell ref="G36:H36"/>
    <mergeCell ref="G35:H35"/>
    <mergeCell ref="G34:H34"/>
    <mergeCell ref="G33:H33"/>
    <mergeCell ref="G32:H32"/>
    <mergeCell ref="G31:H31"/>
    <mergeCell ref="G30:H30"/>
    <mergeCell ref="G29:H29"/>
    <mergeCell ref="G28:H28"/>
    <mergeCell ref="G27:H27"/>
    <mergeCell ref="G26:H26"/>
    <mergeCell ref="G25:H25"/>
    <mergeCell ref="G24:H24"/>
    <mergeCell ref="G23:H23"/>
    <mergeCell ref="G22:H22"/>
    <mergeCell ref="G21:H21"/>
    <mergeCell ref="G20:H20"/>
    <mergeCell ref="Q16:S16"/>
    <mergeCell ref="Q17:S17"/>
    <mergeCell ref="Q11:S11"/>
    <mergeCell ref="Q12:S12"/>
    <mergeCell ref="T11:W11"/>
    <mergeCell ref="T12:W12"/>
    <mergeCell ref="T13:W13"/>
    <mergeCell ref="O43:P43"/>
    <mergeCell ref="O40:P40"/>
    <mergeCell ref="O41:P41"/>
    <mergeCell ref="O39:P39"/>
    <mergeCell ref="Q13:S13"/>
    <mergeCell ref="O35:P35"/>
    <mergeCell ref="O36:P36"/>
    <mergeCell ref="O27:P27"/>
    <mergeCell ref="O28:P28"/>
    <mergeCell ref="O29:P29"/>
    <mergeCell ref="O30:P30"/>
    <mergeCell ref="O23:P23"/>
    <mergeCell ref="O24:P24"/>
    <mergeCell ref="O37:P37"/>
    <mergeCell ref="O38:P38"/>
    <mergeCell ref="O31:P31"/>
    <mergeCell ref="O32:P32"/>
    <mergeCell ref="O33:P33"/>
    <mergeCell ref="O34:P34"/>
    <mergeCell ref="O25:P25"/>
    <mergeCell ref="O26:P26"/>
    <mergeCell ref="O17:P17"/>
    <mergeCell ref="O18:P18"/>
    <mergeCell ref="O19:P19"/>
    <mergeCell ref="O20:P20"/>
    <mergeCell ref="O21:P21"/>
    <mergeCell ref="O22:P22"/>
    <mergeCell ref="O11:P11"/>
    <mergeCell ref="O12:P12"/>
    <mergeCell ref="O13:P13"/>
    <mergeCell ref="O14:P14"/>
    <mergeCell ref="O15:P15"/>
    <mergeCell ref="O16:P16"/>
    <mergeCell ref="O8:P8"/>
    <mergeCell ref="O9:P9"/>
    <mergeCell ref="O10:P10"/>
    <mergeCell ref="D3:E4"/>
    <mergeCell ref="A3:C4"/>
    <mergeCell ref="T7:W7"/>
    <mergeCell ref="Q8:S8"/>
    <mergeCell ref="T8:W8"/>
    <mergeCell ref="T9:W9"/>
    <mergeCell ref="T10:W10"/>
    <mergeCell ref="Q9:S9"/>
    <mergeCell ref="Q10:S10"/>
    <mergeCell ref="N3:O3"/>
    <mergeCell ref="N4:O4"/>
    <mergeCell ref="N5:O5"/>
    <mergeCell ref="V4:W4"/>
    <mergeCell ref="V5:W5"/>
    <mergeCell ref="R5:S5"/>
    <mergeCell ref="T4:U4"/>
    <mergeCell ref="T5:U5"/>
    <mergeCell ref="R4:S4"/>
    <mergeCell ref="G9:H9"/>
    <mergeCell ref="I8:J8"/>
    <mergeCell ref="I9:J9"/>
    <mergeCell ref="I10:J10"/>
    <mergeCell ref="U1:V1"/>
    <mergeCell ref="R1:S1"/>
    <mergeCell ref="R3:S3"/>
    <mergeCell ref="T3:U3"/>
    <mergeCell ref="V3:W3"/>
    <mergeCell ref="I7:K7"/>
    <mergeCell ref="A5:C5"/>
    <mergeCell ref="Q18:S18"/>
    <mergeCell ref="Q19:S19"/>
    <mergeCell ref="T18:W18"/>
    <mergeCell ref="T19:W19"/>
    <mergeCell ref="T14:W14"/>
    <mergeCell ref="T15:W15"/>
    <mergeCell ref="T16:W16"/>
    <mergeCell ref="T17:W17"/>
    <mergeCell ref="Q14:S14"/>
    <mergeCell ref="Q15:S15"/>
    <mergeCell ref="D5:E5"/>
    <mergeCell ref="P3:Q3"/>
    <mergeCell ref="P4:Q4"/>
    <mergeCell ref="P5:Q5"/>
    <mergeCell ref="G5:M5"/>
    <mergeCell ref="G3:M4"/>
    <mergeCell ref="F3:F4"/>
    <mergeCell ref="Q21:S21"/>
    <mergeCell ref="T20:W20"/>
    <mergeCell ref="T21:W21"/>
    <mergeCell ref="Q26:S26"/>
    <mergeCell ref="Q27:S27"/>
    <mergeCell ref="T26:W26"/>
    <mergeCell ref="T27:W27"/>
    <mergeCell ref="Q24:S24"/>
    <mergeCell ref="Q25:S25"/>
    <mergeCell ref="T24:W24"/>
    <mergeCell ref="T25:W25"/>
    <mergeCell ref="Q22:S22"/>
    <mergeCell ref="Q23:S23"/>
    <mergeCell ref="T22:W22"/>
    <mergeCell ref="T23:W23"/>
    <mergeCell ref="Q20:S20"/>
    <mergeCell ref="Q30:S30"/>
    <mergeCell ref="Q31:S31"/>
    <mergeCell ref="T30:W30"/>
    <mergeCell ref="T31:W31"/>
    <mergeCell ref="Q29:S29"/>
    <mergeCell ref="Q28:S28"/>
    <mergeCell ref="T28:W28"/>
    <mergeCell ref="T29:W29"/>
    <mergeCell ref="Q34:S34"/>
    <mergeCell ref="Q35:S35"/>
    <mergeCell ref="T34:W34"/>
    <mergeCell ref="T35:W35"/>
    <mergeCell ref="Q32:S32"/>
    <mergeCell ref="Q33:S33"/>
    <mergeCell ref="T32:W32"/>
    <mergeCell ref="T33:W33"/>
    <mergeCell ref="R42:W43"/>
    <mergeCell ref="Q42:Q43"/>
    <mergeCell ref="Q36:S36"/>
    <mergeCell ref="Q37:S37"/>
    <mergeCell ref="T36:W36"/>
    <mergeCell ref="T37:W37"/>
    <mergeCell ref="Q40:W40"/>
    <mergeCell ref="Q38:S38"/>
    <mergeCell ref="Q39:S39"/>
    <mergeCell ref="T38:W38"/>
    <mergeCell ref="T39:W39"/>
    <mergeCell ref="R41:W41"/>
    <mergeCell ref="A45:D46"/>
    <mergeCell ref="E45:F46"/>
    <mergeCell ref="A42:E42"/>
    <mergeCell ref="A43:E43"/>
    <mergeCell ref="I12:J12"/>
    <mergeCell ref="I13:J13"/>
    <mergeCell ref="I14:J14"/>
    <mergeCell ref="I15:J15"/>
    <mergeCell ref="I28:J28"/>
    <mergeCell ref="I29:J29"/>
    <mergeCell ref="I30:J30"/>
    <mergeCell ref="I31:J31"/>
    <mergeCell ref="I24:J24"/>
    <mergeCell ref="I25:J25"/>
    <mergeCell ref="I26:J26"/>
    <mergeCell ref="I27:J27"/>
    <mergeCell ref="I36:J36"/>
    <mergeCell ref="I37:J37"/>
    <mergeCell ref="I38:J38"/>
    <mergeCell ref="I39:J39"/>
    <mergeCell ref="I32:J32"/>
    <mergeCell ref="A40:E40"/>
    <mergeCell ref="A41:E41"/>
    <mergeCell ref="G13:H13"/>
    <mergeCell ref="I11:J11"/>
    <mergeCell ref="I20:J20"/>
    <mergeCell ref="I21:J21"/>
    <mergeCell ref="I22:J22"/>
    <mergeCell ref="I23:J23"/>
    <mergeCell ref="I16:J16"/>
    <mergeCell ref="I17:J17"/>
    <mergeCell ref="I18:J18"/>
    <mergeCell ref="I19:J19"/>
    <mergeCell ref="L45:L46"/>
    <mergeCell ref="I46:K46"/>
    <mergeCell ref="I45:K45"/>
    <mergeCell ref="G46:H46"/>
    <mergeCell ref="G45:H45"/>
    <mergeCell ref="I47:K47"/>
    <mergeCell ref="G47:H47"/>
    <mergeCell ref="I33:J33"/>
    <mergeCell ref="I34:J34"/>
    <mergeCell ref="I35:J35"/>
    <mergeCell ref="I40:J40"/>
    <mergeCell ref="I43:J43"/>
    <mergeCell ref="I42:J42"/>
    <mergeCell ref="I41:J41"/>
  </mergeCells>
  <phoneticPr fontId="2"/>
  <conditionalFormatting sqref="N4:W5">
    <cfRule type="expression" dxfId="7" priority="4" stopIfTrue="1">
      <formula>O$6=TIMEVALUE("0:00")</formula>
    </cfRule>
  </conditionalFormatting>
  <conditionalFormatting sqref="M6 W6 S6 U6 O6:Q6">
    <cfRule type="expression" dxfId="6" priority="5" stopIfTrue="1">
      <formula>M6=TIMEVALUE("0:00")</formula>
    </cfRule>
  </conditionalFormatting>
  <conditionalFormatting sqref="A9:C39">
    <cfRule type="expression" dxfId="5" priority="6" stopIfTrue="1">
      <formula>OR($B9="土",$B9="日",$C9="祝",$C9="休")</formula>
    </cfRule>
    <cfRule type="expression" dxfId="4" priority="7" stopIfTrue="1">
      <formula>DAY($A9)=1</formula>
    </cfRule>
  </conditionalFormatting>
  <conditionalFormatting sqref="J9:J38 I9:I39 D9:G39 K9:W39">
    <cfRule type="expression" dxfId="3" priority="8" stopIfTrue="1">
      <formula>AND(OR($B9="土",$B9="日",$C9="祝",$C9="休"),$O9="")</formula>
    </cfRule>
    <cfRule type="expression" dxfId="2" priority="9" stopIfTrue="1">
      <formula>AND(OR($B9="土",$B9="日",$C9="祝",$C9="休"),$O9&lt;&gt;"")</formula>
    </cfRule>
    <cfRule type="expression" dxfId="1" priority="10" stopIfTrue="1">
      <formula>DAY($A9)=1</formula>
    </cfRule>
  </conditionalFormatting>
  <dataValidations count="1">
    <dataValidation imeMode="hiragana" allowBlank="1" showInputMessage="1" showErrorMessage="1" sqref="T9:W39" xr:uid="{00000000-0002-0000-0500-000000000000}"/>
  </dataValidations>
  <printOptions verticalCentered="1"/>
  <pageMargins left="0.55118110236220474" right="0.15748031496062992" top="0.43307086614173229" bottom="0.31496062992125984" header="0.23622047244094491" footer="0.15748031496062992"/>
  <pageSetup paperSize="9" scale="44" orientation="portrait" horizontalDpi="4294967294" verticalDpi="4294967294" r:id="rId1"/>
  <headerFooter alignWithMargins="0">
    <oddFooter>&amp;L&amp;F</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pageSetUpPr autoPageBreaks="0"/>
  </sheetPr>
  <dimension ref="A1:K77"/>
  <sheetViews>
    <sheetView showGridLines="0" zoomScaleNormal="100" workbookViewId="0">
      <pane ySplit="4" topLeftCell="A5" activePane="bottomLeft" state="frozen"/>
      <selection pane="bottomLeft" activeCell="D1" sqref="D1:E1"/>
      <selection activeCell="I9" sqref="I9"/>
    </sheetView>
  </sheetViews>
  <sheetFormatPr defaultRowHeight="13.5"/>
  <cols>
    <col min="1" max="1" width="15.625" style="301" bestFit="1" customWidth="1"/>
    <col min="2" max="2" width="9.625" style="5" customWidth="1"/>
    <col min="3" max="3" width="17.625" customWidth="1"/>
    <col min="4" max="4" width="10.625" customWidth="1"/>
    <col min="5" max="5" width="17.625" customWidth="1"/>
    <col min="6" max="6" width="5.25" customWidth="1"/>
    <col min="7" max="8" width="9" style="302" bestFit="1"/>
    <col min="9" max="9" width="9" style="5"/>
    <col min="10" max="11" width="9" hidden="1" customWidth="1"/>
  </cols>
  <sheetData>
    <row r="1" spans="1:11" ht="18.75">
      <c r="A1" s="1020" t="str">
        <f>入力シート!A1&amp;"年"&amp;入力シート!A2&amp;"月度　届書"</f>
        <v>2021年8月度　届書</v>
      </c>
      <c r="B1" s="1020"/>
      <c r="D1" s="707" t="s">
        <v>474</v>
      </c>
      <c r="E1" s="708" t="str">
        <f>入力シート!J2</f>
        <v>ｼｽﾃﾑ開発部</v>
      </c>
      <c r="G1" s="660" t="s">
        <v>470</v>
      </c>
      <c r="H1" s="1019" t="str">
        <f>入力シート!C2</f>
        <v>中村 知義</v>
      </c>
      <c r="I1" s="1019"/>
      <c r="K1" s="312" t="str">
        <f>入力シート!C2</f>
        <v>中村 知義</v>
      </c>
    </row>
    <row r="2" spans="1:11" ht="7.5" customHeight="1">
      <c r="B2" s="726"/>
      <c r="I2" s="726"/>
    </row>
    <row r="3" spans="1:11">
      <c r="A3" s="301" t="s">
        <v>690</v>
      </c>
      <c r="B3" s="726"/>
      <c r="I3" s="308" t="s">
        <v>691</v>
      </c>
    </row>
    <row r="4" spans="1:11" s="266" customFormat="1" ht="22.5">
      <c r="A4" s="303" t="s">
        <v>529</v>
      </c>
      <c r="B4" s="304" t="s">
        <v>692</v>
      </c>
      <c r="C4" s="1021" t="s">
        <v>693</v>
      </c>
      <c r="D4" s="1022"/>
      <c r="E4" s="1022"/>
      <c r="F4" s="1023"/>
      <c r="G4" s="541" t="s">
        <v>694</v>
      </c>
      <c r="H4" s="541" t="s">
        <v>695</v>
      </c>
      <c r="I4" s="304" t="s">
        <v>696</v>
      </c>
      <c r="J4" s="314" t="s">
        <v>697</v>
      </c>
      <c r="K4" s="310" t="s">
        <v>506</v>
      </c>
    </row>
    <row r="5" spans="1:11">
      <c r="A5" s="305"/>
      <c r="B5" s="306"/>
      <c r="C5" s="1016"/>
      <c r="D5" s="1017"/>
      <c r="E5" s="1017"/>
      <c r="F5" s="1018"/>
      <c r="G5" s="307"/>
      <c r="H5" s="307"/>
      <c r="I5" s="254" t="str">
        <f t="shared" ref="I5:I64" si="0">IF(A5="","",IF(DAY(A5)&lt;=20,MONTH(A5),IF(MONTH(A5)=12,1,MONTH(A5)+1)))</f>
        <v/>
      </c>
      <c r="J5" s="311">
        <f>入力シート!$A$2</f>
        <v>8</v>
      </c>
      <c r="K5" s="311" t="s">
        <v>527</v>
      </c>
    </row>
    <row r="6" spans="1:11">
      <c r="A6" s="305"/>
      <c r="B6" s="306"/>
      <c r="C6" s="1016"/>
      <c r="D6" s="1017"/>
      <c r="E6" s="1017"/>
      <c r="F6" s="1018"/>
      <c r="G6" s="307"/>
      <c r="H6" s="307"/>
      <c r="I6" s="254" t="str">
        <f t="shared" si="0"/>
        <v/>
      </c>
      <c r="J6" s="311">
        <f>入力シート!$A$2</f>
        <v>8</v>
      </c>
      <c r="K6" s="311" t="s">
        <v>566</v>
      </c>
    </row>
    <row r="7" spans="1:11">
      <c r="A7" s="305"/>
      <c r="B7" s="306"/>
      <c r="C7" s="1016"/>
      <c r="D7" s="1017"/>
      <c r="E7" s="1017"/>
      <c r="F7" s="1018"/>
      <c r="G7" s="307"/>
      <c r="H7" s="307"/>
      <c r="I7" s="254" t="str">
        <f t="shared" si="0"/>
        <v/>
      </c>
      <c r="J7" s="311">
        <f>入力シート!$A$2</f>
        <v>8</v>
      </c>
      <c r="K7" s="311" t="s">
        <v>553</v>
      </c>
    </row>
    <row r="8" spans="1:11">
      <c r="A8" s="305"/>
      <c r="B8" s="306"/>
      <c r="C8" s="1016"/>
      <c r="D8" s="1017"/>
      <c r="E8" s="1017"/>
      <c r="F8" s="1018"/>
      <c r="G8" s="307"/>
      <c r="H8" s="307"/>
      <c r="I8" s="254" t="str">
        <f t="shared" si="0"/>
        <v/>
      </c>
      <c r="J8" s="311">
        <f>入力シート!$A$2</f>
        <v>8</v>
      </c>
      <c r="K8" s="311" t="s">
        <v>546</v>
      </c>
    </row>
    <row r="9" spans="1:11">
      <c r="A9" s="305"/>
      <c r="B9" s="306"/>
      <c r="C9" s="1016"/>
      <c r="D9" s="1017"/>
      <c r="E9" s="1017"/>
      <c r="F9" s="1018"/>
      <c r="G9" s="307"/>
      <c r="H9" s="307"/>
      <c r="I9" s="254" t="str">
        <f t="shared" si="0"/>
        <v/>
      </c>
      <c r="J9" s="311">
        <f>入力シート!$A$2</f>
        <v>8</v>
      </c>
      <c r="K9" s="311" t="s">
        <v>547</v>
      </c>
    </row>
    <row r="10" spans="1:11">
      <c r="A10" s="305"/>
      <c r="B10" s="306"/>
      <c r="C10" s="1016"/>
      <c r="D10" s="1017"/>
      <c r="E10" s="1017"/>
      <c r="F10" s="1018"/>
      <c r="G10" s="307"/>
      <c r="H10" s="307"/>
      <c r="I10" s="254" t="str">
        <f t="shared" si="0"/>
        <v/>
      </c>
      <c r="J10" s="311">
        <f>入力シート!$A$2</f>
        <v>8</v>
      </c>
      <c r="K10" s="709" t="s">
        <v>548</v>
      </c>
    </row>
    <row r="11" spans="1:11">
      <c r="A11" s="305"/>
      <c r="B11" s="306"/>
      <c r="C11" s="1016"/>
      <c r="D11" s="1017"/>
      <c r="E11" s="1017"/>
      <c r="F11" s="1018"/>
      <c r="G11" s="307"/>
      <c r="H11" s="307"/>
      <c r="I11" s="254" t="str">
        <f t="shared" si="0"/>
        <v/>
      </c>
      <c r="J11" s="311">
        <f>入力シート!$A$2</f>
        <v>8</v>
      </c>
      <c r="K11" s="311" t="s">
        <v>544</v>
      </c>
    </row>
    <row r="12" spans="1:11">
      <c r="A12" s="305"/>
      <c r="B12" s="306"/>
      <c r="C12" s="1016"/>
      <c r="D12" s="1017"/>
      <c r="E12" s="1017"/>
      <c r="F12" s="1018"/>
      <c r="G12" s="307"/>
      <c r="H12" s="307"/>
      <c r="I12" s="254" t="str">
        <f t="shared" si="0"/>
        <v/>
      </c>
      <c r="J12" s="311">
        <f>入力シート!$A$2</f>
        <v>8</v>
      </c>
      <c r="K12" s="311" t="s">
        <v>545</v>
      </c>
    </row>
    <row r="13" spans="1:11">
      <c r="A13" s="305"/>
      <c r="B13" s="306"/>
      <c r="C13" s="1016"/>
      <c r="D13" s="1017"/>
      <c r="E13" s="1017"/>
      <c r="F13" s="1018"/>
      <c r="G13" s="307"/>
      <c r="H13" s="307"/>
      <c r="I13" s="254" t="str">
        <f t="shared" si="0"/>
        <v/>
      </c>
      <c r="J13" s="311">
        <f>入力シート!$A$2</f>
        <v>8</v>
      </c>
      <c r="K13" s="311" t="s">
        <v>549</v>
      </c>
    </row>
    <row r="14" spans="1:11">
      <c r="A14" s="305"/>
      <c r="B14" s="306"/>
      <c r="C14" s="1016"/>
      <c r="D14" s="1017"/>
      <c r="E14" s="1017"/>
      <c r="F14" s="1018"/>
      <c r="G14" s="307"/>
      <c r="H14" s="307"/>
      <c r="I14" s="254" t="str">
        <f t="shared" si="0"/>
        <v/>
      </c>
      <c r="J14" s="311">
        <f>入力シート!$A$2</f>
        <v>8</v>
      </c>
      <c r="K14" s="311"/>
    </row>
    <row r="15" spans="1:11">
      <c r="A15" s="305"/>
      <c r="B15" s="306"/>
      <c r="C15" s="1016"/>
      <c r="D15" s="1017"/>
      <c r="E15" s="1017"/>
      <c r="F15" s="1018"/>
      <c r="G15" s="307"/>
      <c r="H15" s="307"/>
      <c r="I15" s="254" t="str">
        <f t="shared" si="0"/>
        <v/>
      </c>
      <c r="J15" s="311">
        <f>入力シート!$A$2</f>
        <v>8</v>
      </c>
      <c r="K15" s="477"/>
    </row>
    <row r="16" spans="1:11">
      <c r="A16" s="305"/>
      <c r="B16" s="306"/>
      <c r="C16" s="1016"/>
      <c r="D16" s="1017"/>
      <c r="E16" s="1017"/>
      <c r="F16" s="1018"/>
      <c r="G16" s="307"/>
      <c r="H16" s="307"/>
      <c r="I16" s="254" t="str">
        <f t="shared" si="0"/>
        <v/>
      </c>
      <c r="J16" s="311">
        <f>入力シート!$A$2</f>
        <v>8</v>
      </c>
    </row>
    <row r="17" spans="1:10">
      <c r="A17" s="305"/>
      <c r="B17" s="306"/>
      <c r="C17" s="1016"/>
      <c r="D17" s="1017"/>
      <c r="E17" s="1017"/>
      <c r="F17" s="1018"/>
      <c r="G17" s="307"/>
      <c r="H17" s="307"/>
      <c r="I17" s="254" t="str">
        <f t="shared" si="0"/>
        <v/>
      </c>
      <c r="J17" s="311">
        <f>入力シート!$A$2</f>
        <v>8</v>
      </c>
    </row>
    <row r="18" spans="1:10">
      <c r="A18" s="305"/>
      <c r="B18" s="306"/>
      <c r="C18" s="1016"/>
      <c r="D18" s="1017"/>
      <c r="E18" s="1017"/>
      <c r="F18" s="1018"/>
      <c r="G18" s="307"/>
      <c r="H18" s="307"/>
      <c r="I18" s="254" t="str">
        <f t="shared" si="0"/>
        <v/>
      </c>
      <c r="J18" s="311">
        <f>入力シート!$A$2</f>
        <v>8</v>
      </c>
    </row>
    <row r="19" spans="1:10">
      <c r="A19" s="305"/>
      <c r="B19" s="306"/>
      <c r="C19" s="1016"/>
      <c r="D19" s="1017"/>
      <c r="E19" s="1017"/>
      <c r="F19" s="1018"/>
      <c r="G19" s="307"/>
      <c r="H19" s="307"/>
      <c r="I19" s="254" t="str">
        <f t="shared" si="0"/>
        <v/>
      </c>
      <c r="J19" s="311">
        <f>入力シート!$A$2</f>
        <v>8</v>
      </c>
    </row>
    <row r="20" spans="1:10">
      <c r="A20" s="305"/>
      <c r="B20" s="306"/>
      <c r="C20" s="1016"/>
      <c r="D20" s="1017"/>
      <c r="E20" s="1017"/>
      <c r="F20" s="1018"/>
      <c r="G20" s="307"/>
      <c r="H20" s="307"/>
      <c r="I20" s="254" t="str">
        <f t="shared" si="0"/>
        <v/>
      </c>
      <c r="J20" s="311">
        <f>入力シート!$A$2</f>
        <v>8</v>
      </c>
    </row>
    <row r="21" spans="1:10">
      <c r="A21" s="305"/>
      <c r="B21" s="306"/>
      <c r="C21" s="1016"/>
      <c r="D21" s="1017"/>
      <c r="E21" s="1017"/>
      <c r="F21" s="1018"/>
      <c r="G21" s="307"/>
      <c r="H21" s="307"/>
      <c r="I21" s="254" t="str">
        <f t="shared" si="0"/>
        <v/>
      </c>
      <c r="J21" s="311">
        <f>入力シート!$A$2</f>
        <v>8</v>
      </c>
    </row>
    <row r="22" spans="1:10">
      <c r="A22" s="305"/>
      <c r="B22" s="306"/>
      <c r="C22" s="1016"/>
      <c r="D22" s="1017"/>
      <c r="E22" s="1017"/>
      <c r="F22" s="1018"/>
      <c r="G22" s="307"/>
      <c r="H22" s="307"/>
      <c r="I22" s="254" t="str">
        <f t="shared" si="0"/>
        <v/>
      </c>
      <c r="J22" s="311">
        <f>入力シート!$A$2</f>
        <v>8</v>
      </c>
    </row>
    <row r="23" spans="1:10">
      <c r="A23" s="305"/>
      <c r="B23" s="306"/>
      <c r="C23" s="1016"/>
      <c r="D23" s="1017"/>
      <c r="E23" s="1017"/>
      <c r="F23" s="1018"/>
      <c r="G23" s="307"/>
      <c r="H23" s="307"/>
      <c r="I23" s="254" t="str">
        <f t="shared" si="0"/>
        <v/>
      </c>
      <c r="J23" s="311">
        <f>入力シート!$A$2</f>
        <v>8</v>
      </c>
    </row>
    <row r="24" spans="1:10">
      <c r="A24" s="305"/>
      <c r="B24" s="306"/>
      <c r="C24" s="1016"/>
      <c r="D24" s="1017"/>
      <c r="E24" s="1017"/>
      <c r="F24" s="1018"/>
      <c r="G24" s="307"/>
      <c r="H24" s="307"/>
      <c r="I24" s="254" t="str">
        <f t="shared" si="0"/>
        <v/>
      </c>
      <c r="J24" s="311">
        <f>入力シート!$A$2</f>
        <v>8</v>
      </c>
    </row>
    <row r="25" spans="1:10">
      <c r="A25" s="305"/>
      <c r="B25" s="306"/>
      <c r="C25" s="1016"/>
      <c r="D25" s="1017"/>
      <c r="E25" s="1017"/>
      <c r="F25" s="1018"/>
      <c r="G25" s="307"/>
      <c r="H25" s="307"/>
      <c r="I25" s="254" t="str">
        <f t="shared" si="0"/>
        <v/>
      </c>
      <c r="J25" s="311">
        <f>入力シート!$A$2</f>
        <v>8</v>
      </c>
    </row>
    <row r="26" spans="1:10">
      <c r="A26" s="305"/>
      <c r="B26" s="306"/>
      <c r="C26" s="1016"/>
      <c r="D26" s="1017"/>
      <c r="E26" s="1017"/>
      <c r="F26" s="1018"/>
      <c r="G26" s="307"/>
      <c r="H26" s="307"/>
      <c r="I26" s="254" t="str">
        <f t="shared" si="0"/>
        <v/>
      </c>
      <c r="J26" s="311">
        <f>入力シート!$A$2</f>
        <v>8</v>
      </c>
    </row>
    <row r="27" spans="1:10">
      <c r="A27" s="305"/>
      <c r="B27" s="306"/>
      <c r="C27" s="1016"/>
      <c r="D27" s="1017"/>
      <c r="E27" s="1017"/>
      <c r="F27" s="1018"/>
      <c r="G27" s="307"/>
      <c r="H27" s="307"/>
      <c r="I27" s="254" t="str">
        <f t="shared" si="0"/>
        <v/>
      </c>
      <c r="J27" s="311">
        <f>入力シート!$A$2</f>
        <v>8</v>
      </c>
    </row>
    <row r="28" spans="1:10">
      <c r="A28" s="305"/>
      <c r="B28" s="306"/>
      <c r="C28" s="1016"/>
      <c r="D28" s="1017"/>
      <c r="E28" s="1017"/>
      <c r="F28" s="1018"/>
      <c r="G28" s="307"/>
      <c r="H28" s="307"/>
      <c r="I28" s="254" t="str">
        <f t="shared" si="0"/>
        <v/>
      </c>
      <c r="J28" s="311">
        <f>入力シート!$A$2</f>
        <v>8</v>
      </c>
    </row>
    <row r="29" spans="1:10">
      <c r="A29" s="305"/>
      <c r="B29" s="306"/>
      <c r="C29" s="1016"/>
      <c r="D29" s="1017"/>
      <c r="E29" s="1017"/>
      <c r="F29" s="1018"/>
      <c r="G29" s="307"/>
      <c r="H29" s="307"/>
      <c r="I29" s="254" t="str">
        <f t="shared" si="0"/>
        <v/>
      </c>
      <c r="J29" s="311">
        <f>入力シート!$A$2</f>
        <v>8</v>
      </c>
    </row>
    <row r="30" spans="1:10">
      <c r="A30" s="305"/>
      <c r="B30" s="306"/>
      <c r="C30" s="1016"/>
      <c r="D30" s="1017"/>
      <c r="E30" s="1017"/>
      <c r="F30" s="1018"/>
      <c r="G30" s="307"/>
      <c r="H30" s="307"/>
      <c r="I30" s="254" t="str">
        <f t="shared" si="0"/>
        <v/>
      </c>
      <c r="J30" s="311">
        <f>入力シート!$A$2</f>
        <v>8</v>
      </c>
    </row>
    <row r="31" spans="1:10">
      <c r="A31" s="305"/>
      <c r="B31" s="306"/>
      <c r="C31" s="1016"/>
      <c r="D31" s="1017"/>
      <c r="E31" s="1017"/>
      <c r="F31" s="1018"/>
      <c r="G31" s="307"/>
      <c r="H31" s="307"/>
      <c r="I31" s="254" t="str">
        <f t="shared" si="0"/>
        <v/>
      </c>
      <c r="J31" s="311">
        <f>入力シート!$A$2</f>
        <v>8</v>
      </c>
    </row>
    <row r="32" spans="1:10">
      <c r="A32" s="305"/>
      <c r="B32" s="306"/>
      <c r="C32" s="1016"/>
      <c r="D32" s="1017"/>
      <c r="E32" s="1017"/>
      <c r="F32" s="1018"/>
      <c r="G32" s="307"/>
      <c r="H32" s="307"/>
      <c r="I32" s="254" t="str">
        <f t="shared" si="0"/>
        <v/>
      </c>
      <c r="J32" s="311">
        <f>入力シート!$A$2</f>
        <v>8</v>
      </c>
    </row>
    <row r="33" spans="1:10">
      <c r="A33" s="305"/>
      <c r="B33" s="306"/>
      <c r="C33" s="1016"/>
      <c r="D33" s="1017"/>
      <c r="E33" s="1017"/>
      <c r="F33" s="1018"/>
      <c r="G33" s="307"/>
      <c r="H33" s="307"/>
      <c r="I33" s="254" t="str">
        <f t="shared" si="0"/>
        <v/>
      </c>
      <c r="J33" s="311">
        <f>入力シート!$A$2</f>
        <v>8</v>
      </c>
    </row>
    <row r="34" spans="1:10">
      <c r="A34" s="305"/>
      <c r="B34" s="306"/>
      <c r="C34" s="1016"/>
      <c r="D34" s="1017"/>
      <c r="E34" s="1017"/>
      <c r="F34" s="1018"/>
      <c r="G34" s="307"/>
      <c r="H34" s="307"/>
      <c r="I34" s="254" t="str">
        <f t="shared" si="0"/>
        <v/>
      </c>
      <c r="J34" s="311">
        <f>入力シート!$A$2</f>
        <v>8</v>
      </c>
    </row>
    <row r="35" spans="1:10">
      <c r="A35" s="305"/>
      <c r="B35" s="306"/>
      <c r="C35" s="1016"/>
      <c r="D35" s="1017"/>
      <c r="E35" s="1017"/>
      <c r="F35" s="1018"/>
      <c r="G35" s="307"/>
      <c r="H35" s="307"/>
      <c r="I35" s="254" t="str">
        <f t="shared" si="0"/>
        <v/>
      </c>
      <c r="J35" s="311">
        <f>入力シート!$A$2</f>
        <v>8</v>
      </c>
    </row>
    <row r="36" spans="1:10">
      <c r="A36" s="305"/>
      <c r="B36" s="306"/>
      <c r="C36" s="1016"/>
      <c r="D36" s="1017"/>
      <c r="E36" s="1017"/>
      <c r="F36" s="1018"/>
      <c r="G36" s="307"/>
      <c r="H36" s="307"/>
      <c r="I36" s="254" t="str">
        <f t="shared" si="0"/>
        <v/>
      </c>
      <c r="J36" s="311">
        <f>入力シート!$A$2</f>
        <v>8</v>
      </c>
    </row>
    <row r="37" spans="1:10">
      <c r="A37" s="305"/>
      <c r="B37" s="306"/>
      <c r="C37" s="1016"/>
      <c r="D37" s="1017"/>
      <c r="E37" s="1017"/>
      <c r="F37" s="1018"/>
      <c r="G37" s="307"/>
      <c r="H37" s="307"/>
      <c r="I37" s="254" t="str">
        <f t="shared" si="0"/>
        <v/>
      </c>
      <c r="J37" s="311">
        <f>入力シート!$A$2</f>
        <v>8</v>
      </c>
    </row>
    <row r="38" spans="1:10">
      <c r="A38" s="305"/>
      <c r="B38" s="306"/>
      <c r="C38" s="1016"/>
      <c r="D38" s="1017"/>
      <c r="E38" s="1017"/>
      <c r="F38" s="1018"/>
      <c r="G38" s="307"/>
      <c r="H38" s="307"/>
      <c r="I38" s="254" t="str">
        <f t="shared" si="0"/>
        <v/>
      </c>
      <c r="J38" s="311">
        <f>入力シート!$A$2</f>
        <v>8</v>
      </c>
    </row>
    <row r="39" spans="1:10">
      <c r="A39" s="305"/>
      <c r="B39" s="306"/>
      <c r="C39" s="1016"/>
      <c r="D39" s="1017"/>
      <c r="E39" s="1017"/>
      <c r="F39" s="1018"/>
      <c r="G39" s="307"/>
      <c r="H39" s="307"/>
      <c r="I39" s="254" t="str">
        <f t="shared" si="0"/>
        <v/>
      </c>
      <c r="J39" s="311">
        <f>入力シート!$A$2</f>
        <v>8</v>
      </c>
    </row>
    <row r="40" spans="1:10">
      <c r="A40" s="305"/>
      <c r="B40" s="306"/>
      <c r="C40" s="1016"/>
      <c r="D40" s="1017"/>
      <c r="E40" s="1017"/>
      <c r="F40" s="1018"/>
      <c r="G40" s="307"/>
      <c r="H40" s="307"/>
      <c r="I40" s="254" t="str">
        <f t="shared" si="0"/>
        <v/>
      </c>
      <c r="J40" s="311">
        <f>入力シート!$A$2</f>
        <v>8</v>
      </c>
    </row>
    <row r="41" spans="1:10">
      <c r="A41" s="305"/>
      <c r="B41" s="306"/>
      <c r="C41" s="1016"/>
      <c r="D41" s="1017"/>
      <c r="E41" s="1017"/>
      <c r="F41" s="1018"/>
      <c r="G41" s="307"/>
      <c r="H41" s="307"/>
      <c r="I41" s="254" t="str">
        <f t="shared" si="0"/>
        <v/>
      </c>
      <c r="J41" s="311">
        <f>入力シート!$A$2</f>
        <v>8</v>
      </c>
    </row>
    <row r="42" spans="1:10">
      <c r="A42" s="305"/>
      <c r="B42" s="306"/>
      <c r="C42" s="1016"/>
      <c r="D42" s="1017"/>
      <c r="E42" s="1017"/>
      <c r="F42" s="1018"/>
      <c r="G42" s="307"/>
      <c r="H42" s="307"/>
      <c r="I42" s="254" t="str">
        <f t="shared" si="0"/>
        <v/>
      </c>
      <c r="J42" s="311">
        <f>入力シート!$A$2</f>
        <v>8</v>
      </c>
    </row>
    <row r="43" spans="1:10">
      <c r="A43" s="305"/>
      <c r="B43" s="306"/>
      <c r="C43" s="1016"/>
      <c r="D43" s="1017"/>
      <c r="E43" s="1017"/>
      <c r="F43" s="1018"/>
      <c r="G43" s="307"/>
      <c r="H43" s="307"/>
      <c r="I43" s="254" t="str">
        <f t="shared" si="0"/>
        <v/>
      </c>
      <c r="J43" s="311">
        <f>入力シート!$A$2</f>
        <v>8</v>
      </c>
    </row>
    <row r="44" spans="1:10">
      <c r="A44" s="305"/>
      <c r="B44" s="306"/>
      <c r="C44" s="1016"/>
      <c r="D44" s="1017"/>
      <c r="E44" s="1017"/>
      <c r="F44" s="1018"/>
      <c r="G44" s="307"/>
      <c r="H44" s="307"/>
      <c r="I44" s="254" t="str">
        <f t="shared" si="0"/>
        <v/>
      </c>
      <c r="J44" s="311">
        <f>入力シート!$A$2</f>
        <v>8</v>
      </c>
    </row>
    <row r="45" spans="1:10">
      <c r="A45" s="305"/>
      <c r="B45" s="306"/>
      <c r="C45" s="1016"/>
      <c r="D45" s="1017"/>
      <c r="E45" s="1017"/>
      <c r="F45" s="1018"/>
      <c r="G45" s="307"/>
      <c r="H45" s="307"/>
      <c r="I45" s="254" t="str">
        <f t="shared" si="0"/>
        <v/>
      </c>
      <c r="J45" s="311">
        <f>入力シート!$A$2</f>
        <v>8</v>
      </c>
    </row>
    <row r="46" spans="1:10">
      <c r="A46" s="305"/>
      <c r="B46" s="306"/>
      <c r="C46" s="1016"/>
      <c r="D46" s="1017"/>
      <c r="E46" s="1017"/>
      <c r="F46" s="1018"/>
      <c r="G46" s="307"/>
      <c r="H46" s="307"/>
      <c r="I46" s="254" t="str">
        <f t="shared" si="0"/>
        <v/>
      </c>
      <c r="J46" s="311">
        <f>入力シート!$A$2</f>
        <v>8</v>
      </c>
    </row>
    <row r="47" spans="1:10">
      <c r="A47" s="305"/>
      <c r="B47" s="306"/>
      <c r="C47" s="1016"/>
      <c r="D47" s="1017"/>
      <c r="E47" s="1017"/>
      <c r="F47" s="1018"/>
      <c r="G47" s="307"/>
      <c r="H47" s="307"/>
      <c r="I47" s="254" t="str">
        <f t="shared" si="0"/>
        <v/>
      </c>
      <c r="J47" s="311">
        <f>入力シート!$A$2</f>
        <v>8</v>
      </c>
    </row>
    <row r="48" spans="1:10">
      <c r="A48" s="305"/>
      <c r="B48" s="306"/>
      <c r="C48" s="1016"/>
      <c r="D48" s="1017"/>
      <c r="E48" s="1017"/>
      <c r="F48" s="1018"/>
      <c r="G48" s="307"/>
      <c r="H48" s="307"/>
      <c r="I48" s="254" t="str">
        <f t="shared" si="0"/>
        <v/>
      </c>
      <c r="J48" s="311">
        <f>入力シート!$A$2</f>
        <v>8</v>
      </c>
    </row>
    <row r="49" spans="1:10">
      <c r="A49" s="305"/>
      <c r="B49" s="306"/>
      <c r="C49" s="1016"/>
      <c r="D49" s="1017"/>
      <c r="E49" s="1017"/>
      <c r="F49" s="1018"/>
      <c r="G49" s="307"/>
      <c r="H49" s="307"/>
      <c r="I49" s="254" t="str">
        <f t="shared" si="0"/>
        <v/>
      </c>
      <c r="J49" s="311">
        <f>入力シート!$A$2</f>
        <v>8</v>
      </c>
    </row>
    <row r="50" spans="1:10">
      <c r="A50" s="305"/>
      <c r="B50" s="306"/>
      <c r="C50" s="1016"/>
      <c r="D50" s="1017"/>
      <c r="E50" s="1017"/>
      <c r="F50" s="1018"/>
      <c r="G50" s="307"/>
      <c r="H50" s="307"/>
      <c r="I50" s="254" t="str">
        <f t="shared" si="0"/>
        <v/>
      </c>
      <c r="J50" s="311">
        <f>入力シート!$A$2</f>
        <v>8</v>
      </c>
    </row>
    <row r="51" spans="1:10">
      <c r="A51" s="305"/>
      <c r="B51" s="306"/>
      <c r="C51" s="1016"/>
      <c r="D51" s="1017"/>
      <c r="E51" s="1017"/>
      <c r="F51" s="1018"/>
      <c r="G51" s="307"/>
      <c r="H51" s="307"/>
      <c r="I51" s="254" t="str">
        <f t="shared" si="0"/>
        <v/>
      </c>
      <c r="J51" s="311">
        <f>入力シート!$A$2</f>
        <v>8</v>
      </c>
    </row>
    <row r="52" spans="1:10">
      <c r="A52" s="305"/>
      <c r="B52" s="306"/>
      <c r="C52" s="1016"/>
      <c r="D52" s="1017"/>
      <c r="E52" s="1017"/>
      <c r="F52" s="1018"/>
      <c r="G52" s="307"/>
      <c r="H52" s="307"/>
      <c r="I52" s="254" t="str">
        <f t="shared" si="0"/>
        <v/>
      </c>
      <c r="J52" s="311">
        <f>入力シート!$A$2</f>
        <v>8</v>
      </c>
    </row>
    <row r="53" spans="1:10">
      <c r="A53" s="305"/>
      <c r="B53" s="306"/>
      <c r="C53" s="1016"/>
      <c r="D53" s="1017"/>
      <c r="E53" s="1017"/>
      <c r="F53" s="1018"/>
      <c r="G53" s="307"/>
      <c r="H53" s="307"/>
      <c r="I53" s="254" t="str">
        <f t="shared" si="0"/>
        <v/>
      </c>
      <c r="J53" s="311">
        <f>入力シート!$A$2</f>
        <v>8</v>
      </c>
    </row>
    <row r="54" spans="1:10">
      <c r="A54" s="305"/>
      <c r="B54" s="306"/>
      <c r="C54" s="1016"/>
      <c r="D54" s="1017"/>
      <c r="E54" s="1017"/>
      <c r="F54" s="1018"/>
      <c r="G54" s="307"/>
      <c r="H54" s="307"/>
      <c r="I54" s="254" t="str">
        <f t="shared" si="0"/>
        <v/>
      </c>
      <c r="J54" s="311">
        <f>入力シート!$A$2</f>
        <v>8</v>
      </c>
    </row>
    <row r="55" spans="1:10">
      <c r="A55" s="305"/>
      <c r="B55" s="306"/>
      <c r="C55" s="1016"/>
      <c r="D55" s="1017"/>
      <c r="E55" s="1017"/>
      <c r="F55" s="1018"/>
      <c r="G55" s="307"/>
      <c r="H55" s="307"/>
      <c r="I55" s="254" t="str">
        <f t="shared" si="0"/>
        <v/>
      </c>
      <c r="J55" s="311">
        <f>入力シート!$A$2</f>
        <v>8</v>
      </c>
    </row>
    <row r="56" spans="1:10">
      <c r="A56" s="305"/>
      <c r="B56" s="306"/>
      <c r="C56" s="1016"/>
      <c r="D56" s="1017"/>
      <c r="E56" s="1017"/>
      <c r="F56" s="1018"/>
      <c r="G56" s="307"/>
      <c r="H56" s="307"/>
      <c r="I56" s="254" t="str">
        <f t="shared" si="0"/>
        <v/>
      </c>
      <c r="J56" s="311">
        <f>入力シート!$A$2</f>
        <v>8</v>
      </c>
    </row>
    <row r="57" spans="1:10">
      <c r="A57" s="305"/>
      <c r="B57" s="306"/>
      <c r="C57" s="1016"/>
      <c r="D57" s="1017"/>
      <c r="E57" s="1017"/>
      <c r="F57" s="1018"/>
      <c r="G57" s="307"/>
      <c r="H57" s="307"/>
      <c r="I57" s="254" t="str">
        <f t="shared" si="0"/>
        <v/>
      </c>
      <c r="J57" s="311">
        <f>入力シート!$A$2</f>
        <v>8</v>
      </c>
    </row>
    <row r="58" spans="1:10">
      <c r="A58" s="305"/>
      <c r="B58" s="306"/>
      <c r="C58" s="1016"/>
      <c r="D58" s="1017"/>
      <c r="E58" s="1017"/>
      <c r="F58" s="1018"/>
      <c r="G58" s="307"/>
      <c r="H58" s="307"/>
      <c r="I58" s="254" t="str">
        <f t="shared" si="0"/>
        <v/>
      </c>
      <c r="J58" s="311">
        <f>入力シート!$A$2</f>
        <v>8</v>
      </c>
    </row>
    <row r="59" spans="1:10">
      <c r="A59" s="305"/>
      <c r="B59" s="306"/>
      <c r="C59" s="1016"/>
      <c r="D59" s="1017"/>
      <c r="E59" s="1017"/>
      <c r="F59" s="1018"/>
      <c r="G59" s="307"/>
      <c r="H59" s="307"/>
      <c r="I59" s="254" t="str">
        <f t="shared" si="0"/>
        <v/>
      </c>
      <c r="J59" s="311">
        <f>入力シート!$A$2</f>
        <v>8</v>
      </c>
    </row>
    <row r="60" spans="1:10">
      <c r="A60" s="305"/>
      <c r="B60" s="306"/>
      <c r="C60" s="1016"/>
      <c r="D60" s="1017"/>
      <c r="E60" s="1017"/>
      <c r="F60" s="1018"/>
      <c r="G60" s="307"/>
      <c r="H60" s="307"/>
      <c r="I60" s="254" t="str">
        <f t="shared" si="0"/>
        <v/>
      </c>
      <c r="J60" s="311">
        <f>入力シート!$A$2</f>
        <v>8</v>
      </c>
    </row>
    <row r="61" spans="1:10">
      <c r="A61" s="305"/>
      <c r="B61" s="306"/>
      <c r="C61" s="1016"/>
      <c r="D61" s="1017"/>
      <c r="E61" s="1017"/>
      <c r="F61" s="1018"/>
      <c r="G61" s="307"/>
      <c r="H61" s="307"/>
      <c r="I61" s="254" t="str">
        <f t="shared" si="0"/>
        <v/>
      </c>
      <c r="J61" s="311">
        <f>入力シート!$A$2</f>
        <v>8</v>
      </c>
    </row>
    <row r="62" spans="1:10">
      <c r="A62" s="305"/>
      <c r="B62" s="306"/>
      <c r="C62" s="1016"/>
      <c r="D62" s="1017"/>
      <c r="E62" s="1017"/>
      <c r="F62" s="1018"/>
      <c r="G62" s="307"/>
      <c r="H62" s="307"/>
      <c r="I62" s="254" t="str">
        <f t="shared" si="0"/>
        <v/>
      </c>
      <c r="J62" s="311">
        <f>入力シート!$A$2</f>
        <v>8</v>
      </c>
    </row>
    <row r="63" spans="1:10">
      <c r="A63" s="305"/>
      <c r="B63" s="306"/>
      <c r="C63" s="1016"/>
      <c r="D63" s="1017"/>
      <c r="E63" s="1017"/>
      <c r="F63" s="1018"/>
      <c r="G63" s="307"/>
      <c r="H63" s="307"/>
      <c r="I63" s="254" t="str">
        <f t="shared" si="0"/>
        <v/>
      </c>
      <c r="J63" s="311">
        <f>入力シート!$A$2</f>
        <v>8</v>
      </c>
    </row>
    <row r="64" spans="1:10">
      <c r="A64" s="305"/>
      <c r="B64" s="306"/>
      <c r="C64" s="1016"/>
      <c r="D64" s="1017"/>
      <c r="E64" s="1017"/>
      <c r="F64" s="1018"/>
      <c r="G64" s="307"/>
      <c r="H64" s="307"/>
      <c r="I64" s="254" t="str">
        <f t="shared" si="0"/>
        <v/>
      </c>
      <c r="J64" s="709">
        <f>入力シート!$A$2</f>
        <v>8</v>
      </c>
    </row>
    <row r="65" spans="1:9">
      <c r="A65" s="315"/>
      <c r="B65" s="316"/>
      <c r="C65" s="317"/>
      <c r="D65" s="317"/>
      <c r="E65" s="317"/>
      <c r="F65" s="317"/>
      <c r="G65" s="318"/>
      <c r="H65" s="318"/>
      <c r="I65" s="319"/>
    </row>
    <row r="66" spans="1:9">
      <c r="A66" s="315"/>
      <c r="B66" s="320" t="s">
        <v>698</v>
      </c>
      <c r="C66" s="317"/>
      <c r="D66" s="317"/>
      <c r="E66" s="317"/>
      <c r="F66" s="317"/>
      <c r="G66" s="318"/>
      <c r="H66" s="318"/>
      <c r="I66" s="319"/>
    </row>
    <row r="67" spans="1:9">
      <c r="A67" s="315"/>
      <c r="B67" s="309" t="s">
        <v>506</v>
      </c>
      <c r="C67" s="313">
        <f>COUNTIF($B$5:$B$64,B67)</f>
        <v>0</v>
      </c>
      <c r="D67" s="309" t="s">
        <v>592</v>
      </c>
      <c r="E67" s="313">
        <f>COUNTIF($B$5:$B$64,D67)</f>
        <v>0</v>
      </c>
      <c r="F67" s="1014" t="s">
        <v>699</v>
      </c>
      <c r="G67" s="1015"/>
      <c r="H67" s="313">
        <f>COUNTIF($B$5:$B$64,F67)</f>
        <v>0</v>
      </c>
      <c r="I67" s="319"/>
    </row>
    <row r="68" spans="1:9">
      <c r="A68" s="315"/>
      <c r="B68" s="309" t="s">
        <v>700</v>
      </c>
      <c r="C68" s="313">
        <f>COUNTIF($B$5:$B$64,B68)</f>
        <v>0</v>
      </c>
      <c r="D68" s="309" t="s">
        <v>701</v>
      </c>
      <c r="E68" s="313">
        <f>COUNTIF($B$5:$B$64,D68)</f>
        <v>0</v>
      </c>
      <c r="F68" s="1014" t="s">
        <v>549</v>
      </c>
      <c r="G68" s="1015"/>
      <c r="H68" s="313">
        <f>COUNTIF($B$5:$B$64,F68)</f>
        <v>0</v>
      </c>
      <c r="I68" s="319"/>
    </row>
    <row r="69" spans="1:9">
      <c r="A69" s="315"/>
      <c r="B69" s="309" t="s">
        <v>702</v>
      </c>
      <c r="C69" s="313">
        <f>COUNTIF($B$5:$B$64,B69)</f>
        <v>0</v>
      </c>
      <c r="D69" s="309" t="s">
        <v>703</v>
      </c>
      <c r="E69" s="313">
        <f>COUNTIF($B$5:$B$64,D69)</f>
        <v>0</v>
      </c>
      <c r="F69" s="1014"/>
      <c r="G69" s="1015"/>
      <c r="H69" s="313">
        <f>COUNTIF($B$5:$B$64,F69)</f>
        <v>0</v>
      </c>
      <c r="I69" s="319"/>
    </row>
    <row r="70" spans="1:9">
      <c r="A70" s="315"/>
      <c r="B70" s="309" t="s">
        <v>704</v>
      </c>
      <c r="C70" s="313">
        <f>COUNTIF($B$5:$B$64,B70)</f>
        <v>0</v>
      </c>
      <c r="D70" s="309" t="s">
        <v>544</v>
      </c>
      <c r="E70" s="313">
        <f>COUNTIF($B$5:$B$64,D70)</f>
        <v>0</v>
      </c>
      <c r="F70" s="1014" t="s">
        <v>705</v>
      </c>
      <c r="G70" s="1015"/>
      <c r="H70" s="478">
        <f>SUM(C67:C70,E67:E70,H67:H69)</f>
        <v>0</v>
      </c>
      <c r="I70" s="319"/>
    </row>
    <row r="71" spans="1:9">
      <c r="A71" s="321"/>
      <c r="B71" s="710"/>
      <c r="C71" s="711"/>
      <c r="D71" s="711"/>
      <c r="E71" s="711"/>
      <c r="F71" s="711"/>
      <c r="G71" s="712"/>
      <c r="H71" s="712"/>
      <c r="I71" s="713"/>
    </row>
    <row r="72" spans="1:9">
      <c r="A72" s="322" t="s">
        <v>706</v>
      </c>
      <c r="B72" s="323"/>
      <c r="C72" s="324"/>
      <c r="D72" s="324"/>
      <c r="E72" s="324"/>
      <c r="F72" s="324"/>
      <c r="G72" s="325"/>
      <c r="H72" s="325"/>
      <c r="I72" s="31"/>
    </row>
    <row r="73" spans="1:9">
      <c r="A73" s="326" t="s">
        <v>707</v>
      </c>
      <c r="B73" s="12"/>
      <c r="C73" s="2"/>
      <c r="D73" s="2"/>
      <c r="E73" s="2"/>
      <c r="F73" s="2"/>
      <c r="G73" s="327"/>
      <c r="H73" s="327"/>
      <c r="I73" s="16"/>
    </row>
    <row r="74" spans="1:9">
      <c r="A74" s="326" t="s">
        <v>708</v>
      </c>
      <c r="B74" s="12"/>
      <c r="C74" s="2"/>
      <c r="D74" s="2"/>
      <c r="E74" s="2"/>
      <c r="F74" s="2"/>
      <c r="G74" s="327"/>
      <c r="H74" s="327"/>
      <c r="I74" s="16"/>
    </row>
    <row r="75" spans="1:9">
      <c r="A75" s="326" t="s">
        <v>709</v>
      </c>
      <c r="B75" s="12"/>
      <c r="C75" s="2"/>
      <c r="D75" s="2"/>
      <c r="E75" s="2"/>
      <c r="F75" s="2"/>
      <c r="G75" s="327"/>
      <c r="H75" s="327"/>
      <c r="I75" s="16"/>
    </row>
    <row r="76" spans="1:9">
      <c r="A76" s="326" t="s">
        <v>710</v>
      </c>
      <c r="B76" s="12"/>
      <c r="C76" s="2"/>
      <c r="D76" s="2"/>
      <c r="E76" s="2"/>
      <c r="F76" s="2"/>
      <c r="G76" s="327"/>
      <c r="H76" s="327"/>
      <c r="I76" s="16"/>
    </row>
    <row r="77" spans="1:9">
      <c r="A77" s="328" t="s">
        <v>711</v>
      </c>
      <c r="B77" s="723"/>
      <c r="C77" s="660"/>
      <c r="D77" s="660"/>
      <c r="E77" s="660"/>
      <c r="F77" s="660"/>
      <c r="G77" s="714"/>
      <c r="H77" s="714"/>
      <c r="I77" s="715"/>
    </row>
  </sheetData>
  <mergeCells count="67">
    <mergeCell ref="A1:B1"/>
    <mergeCell ref="C4:F4"/>
    <mergeCell ref="C5:F5"/>
    <mergeCell ref="C10:F10"/>
    <mergeCell ref="C11:F11"/>
    <mergeCell ref="C12:F12"/>
    <mergeCell ref="C6:F6"/>
    <mergeCell ref="C7:F7"/>
    <mergeCell ref="C8:F8"/>
    <mergeCell ref="C9:F9"/>
    <mergeCell ref="C38:F38"/>
    <mergeCell ref="C42:F42"/>
    <mergeCell ref="C43:F43"/>
    <mergeCell ref="C44:F44"/>
    <mergeCell ref="C40:F40"/>
    <mergeCell ref="C39:F39"/>
    <mergeCell ref="C37:F37"/>
    <mergeCell ref="C16:F16"/>
    <mergeCell ref="C21:F21"/>
    <mergeCell ref="C22:F22"/>
    <mergeCell ref="C23:F23"/>
    <mergeCell ref="C24:F24"/>
    <mergeCell ref="C27:F27"/>
    <mergeCell ref="C31:F31"/>
    <mergeCell ref="C32:F32"/>
    <mergeCell ref="C33:F33"/>
    <mergeCell ref="C30:F30"/>
    <mergeCell ref="C54:F54"/>
    <mergeCell ref="C55:F55"/>
    <mergeCell ref="C56:F56"/>
    <mergeCell ref="C61:F61"/>
    <mergeCell ref="C60:F60"/>
    <mergeCell ref="C59:F59"/>
    <mergeCell ref="C57:F57"/>
    <mergeCell ref="C53:F53"/>
    <mergeCell ref="C52:F52"/>
    <mergeCell ref="C45:F45"/>
    <mergeCell ref="C49:F49"/>
    <mergeCell ref="C51:F51"/>
    <mergeCell ref="C47:F47"/>
    <mergeCell ref="C46:F46"/>
    <mergeCell ref="C50:F50"/>
    <mergeCell ref="C48:F48"/>
    <mergeCell ref="H1:I1"/>
    <mergeCell ref="C41:F41"/>
    <mergeCell ref="C17:F17"/>
    <mergeCell ref="C18:F18"/>
    <mergeCell ref="C19:F19"/>
    <mergeCell ref="C20:F20"/>
    <mergeCell ref="C25:F25"/>
    <mergeCell ref="C26:F26"/>
    <mergeCell ref="C28:F28"/>
    <mergeCell ref="C29:F29"/>
    <mergeCell ref="C13:F13"/>
    <mergeCell ref="C14:F14"/>
    <mergeCell ref="C15:F15"/>
    <mergeCell ref="C34:F34"/>
    <mergeCell ref="C35:F35"/>
    <mergeCell ref="C36:F36"/>
    <mergeCell ref="F67:G67"/>
    <mergeCell ref="F68:G68"/>
    <mergeCell ref="F69:G69"/>
    <mergeCell ref="F70:G70"/>
    <mergeCell ref="C58:F58"/>
    <mergeCell ref="C63:F63"/>
    <mergeCell ref="C64:F64"/>
    <mergeCell ref="C62:F62"/>
  </mergeCells>
  <phoneticPr fontId="2"/>
  <conditionalFormatting sqref="A5:I64">
    <cfRule type="expression" dxfId="0" priority="1" stopIfTrue="1">
      <formula>$I5=$J5</formula>
    </cfRule>
  </conditionalFormatting>
  <dataValidations count="3">
    <dataValidation type="list" allowBlank="1" showInputMessage="1" showErrorMessage="1" sqref="B5:B64" xr:uid="{00000000-0002-0000-0600-000000000000}">
      <formula1>$K$4:$K$15</formula1>
    </dataValidation>
    <dataValidation imeMode="off" allowBlank="1" showInputMessage="1" showErrorMessage="1" sqref="G5:H64" xr:uid="{00000000-0002-0000-0600-000001000000}"/>
    <dataValidation imeMode="hiragana" allowBlank="1" showInputMessage="1" showErrorMessage="1" sqref="C5:F64" xr:uid="{00000000-0002-0000-0600-000002000000}"/>
  </dataValidations>
  <pageMargins left="0.69" right="0.2" top="0.38" bottom="0.4" header="0.2" footer="0.2"/>
  <pageSetup paperSize="9" scale="87" orientation="portrait" horizontalDpi="4294967294" r:id="rId1"/>
  <headerFooter alignWithMargins="0">
    <oddHeader>&amp;R&amp;D</oddHeader>
    <oddFooter>&amp;L&amp;F&amp;R&amp;A</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autoPageBreaks="0"/>
  </sheetPr>
  <dimension ref="A1:L37"/>
  <sheetViews>
    <sheetView showGridLines="0" topLeftCell="B1" workbookViewId="0">
      <selection activeCell="P14" sqref="P14"/>
    </sheetView>
  </sheetViews>
  <sheetFormatPr defaultColWidth="9" defaultRowHeight="18" customHeight="1"/>
  <cols>
    <col min="1" max="1" width="2.375" style="394" bestFit="1" customWidth="1"/>
    <col min="2" max="2" width="9.125" style="394" customWidth="1"/>
    <col min="3" max="3" width="13.625" style="394" customWidth="1"/>
    <col min="4" max="4" width="9.125" style="394" customWidth="1"/>
    <col min="5" max="5" width="13.625" style="394" customWidth="1"/>
    <col min="6" max="6" width="9.125" style="394" customWidth="1"/>
    <col min="7" max="8" width="7.125" style="394" customWidth="1"/>
    <col min="9" max="10" width="4.875" style="394" customWidth="1"/>
    <col min="11" max="12" width="7.125" style="394" customWidth="1"/>
    <col min="13" max="16384" width="9" style="394"/>
  </cols>
  <sheetData>
    <row r="1" spans="1:12" ht="24.75" customHeight="1">
      <c r="A1" s="1072" t="str">
        <f>入力シート!A1&amp;"年"&amp;入力シート!A2&amp;"月度"&amp;"　　通勤定期代等支給申請書"</f>
        <v>2021年8月度　　通勤定期代等支給申請書</v>
      </c>
      <c r="B1" s="1073"/>
      <c r="C1" s="1073"/>
      <c r="D1" s="1073"/>
      <c r="E1" s="1073"/>
      <c r="F1" s="1074"/>
      <c r="G1" s="1069" t="s">
        <v>672</v>
      </c>
      <c r="H1" s="1070"/>
      <c r="I1" s="1071"/>
      <c r="J1" s="1069" t="s">
        <v>671</v>
      </c>
      <c r="K1" s="1070"/>
      <c r="L1" s="1076"/>
    </row>
    <row r="2" spans="1:12" ht="24.75" customHeight="1">
      <c r="A2" s="392"/>
      <c r="B2" s="1085" t="s">
        <v>712</v>
      </c>
      <c r="C2" s="1083" t="str">
        <f>入力シート!C2</f>
        <v>中村 知義</v>
      </c>
      <c r="D2" s="1081" t="s">
        <v>473</v>
      </c>
      <c r="E2" s="1077" t="str">
        <f>入力シート!G2</f>
        <v>矢崎総業（株）内</v>
      </c>
      <c r="F2" s="1078"/>
      <c r="G2" s="388"/>
      <c r="H2" s="396"/>
      <c r="I2" s="397"/>
      <c r="J2" s="398"/>
      <c r="K2" s="389"/>
      <c r="L2" s="390"/>
    </row>
    <row r="3" spans="1:12" ht="24.75" customHeight="1" thickBot="1">
      <c r="A3" s="399"/>
      <c r="B3" s="1086"/>
      <c r="C3" s="1084"/>
      <c r="D3" s="1082"/>
      <c r="E3" s="1079"/>
      <c r="F3" s="1080"/>
      <c r="G3" s="401"/>
      <c r="H3" s="402"/>
      <c r="I3" s="403"/>
      <c r="J3" s="404"/>
      <c r="K3" s="405"/>
      <c r="L3" s="400"/>
    </row>
    <row r="4" spans="1:12" ht="24.75" customHeight="1" thickTop="1">
      <c r="A4" s="505"/>
      <c r="B4" s="506" t="s">
        <v>713</v>
      </c>
      <c r="C4" s="1054"/>
      <c r="D4" s="1054"/>
      <c r="E4" s="1054"/>
      <c r="F4" s="507" t="s">
        <v>714</v>
      </c>
      <c r="G4" s="1028"/>
      <c r="H4" s="1029"/>
      <c r="I4" s="1029"/>
      <c r="J4" s="1029"/>
      <c r="K4" s="1029"/>
      <c r="L4" s="1030"/>
    </row>
    <row r="5" spans="1:12" ht="24.75" customHeight="1" thickBot="1">
      <c r="A5" s="504"/>
      <c r="B5" s="508" t="s">
        <v>473</v>
      </c>
      <c r="C5" s="1027"/>
      <c r="D5" s="1027"/>
      <c r="E5" s="1027"/>
      <c r="F5" s="500" t="s">
        <v>714</v>
      </c>
      <c r="G5" s="1031"/>
      <c r="H5" s="1032"/>
      <c r="I5" s="1032"/>
      <c r="J5" s="1032"/>
      <c r="K5" s="1032"/>
      <c r="L5" s="1033"/>
    </row>
    <row r="6" spans="1:12" ht="24.75" customHeight="1" thickBot="1">
      <c r="A6" s="492"/>
      <c r="B6" s="493" t="s">
        <v>715</v>
      </c>
      <c r="C6" s="494"/>
      <c r="D6" s="494"/>
      <c r="E6" s="494"/>
      <c r="F6" s="495"/>
      <c r="G6" s="495"/>
      <c r="H6" s="495"/>
      <c r="I6" s="496"/>
      <c r="J6" s="496"/>
      <c r="K6" s="496"/>
      <c r="L6" s="497"/>
    </row>
    <row r="7" spans="1:12" s="395" customFormat="1" ht="24.75" customHeight="1">
      <c r="A7" s="1056" t="s">
        <v>716</v>
      </c>
      <c r="B7" s="510" t="s">
        <v>717</v>
      </c>
      <c r="C7" s="747"/>
      <c r="D7" s="518" t="s">
        <v>718</v>
      </c>
      <c r="E7" s="747"/>
      <c r="F7" s="519" t="s">
        <v>719</v>
      </c>
      <c r="G7" s="1045"/>
      <c r="H7" s="1046"/>
      <c r="I7" s="1047" t="s">
        <v>720</v>
      </c>
      <c r="J7" s="1075"/>
      <c r="K7" s="1067"/>
      <c r="L7" s="1068"/>
    </row>
    <row r="8" spans="1:12" s="395" customFormat="1" ht="24.75" customHeight="1">
      <c r="A8" s="1056"/>
      <c r="B8" s="509" t="s">
        <v>721</v>
      </c>
      <c r="C8" s="499"/>
      <c r="D8" s="498" t="s">
        <v>722</v>
      </c>
      <c r="E8" s="499"/>
      <c r="F8" s="520" t="s">
        <v>723</v>
      </c>
      <c r="G8" s="1052"/>
      <c r="H8" s="1052"/>
      <c r="I8" s="1052"/>
      <c r="J8" s="1052"/>
      <c r="K8" s="1052"/>
      <c r="L8" s="1053"/>
    </row>
    <row r="9" spans="1:12" s="395" customFormat="1" ht="24.75" customHeight="1" thickBot="1">
      <c r="A9" s="1057"/>
      <c r="B9" s="511" t="s">
        <v>724</v>
      </c>
      <c r="C9" s="1049"/>
      <c r="D9" s="1050"/>
      <c r="E9" s="1050"/>
      <c r="F9" s="1050"/>
      <c r="G9" s="1050"/>
      <c r="H9" s="1050"/>
      <c r="I9" s="1050"/>
      <c r="J9" s="1050"/>
      <c r="K9" s="1050"/>
      <c r="L9" s="1051"/>
    </row>
    <row r="10" spans="1:12" s="395" customFormat="1" ht="24.75" customHeight="1">
      <c r="A10" s="1055" t="s">
        <v>725</v>
      </c>
      <c r="B10" s="510" t="s">
        <v>717</v>
      </c>
      <c r="C10" s="746"/>
      <c r="D10" s="518" t="s">
        <v>718</v>
      </c>
      <c r="E10" s="746"/>
      <c r="F10" s="519" t="s">
        <v>719</v>
      </c>
      <c r="G10" s="1065"/>
      <c r="H10" s="1066"/>
      <c r="I10" s="1047" t="s">
        <v>720</v>
      </c>
      <c r="J10" s="1048"/>
      <c r="K10" s="1034"/>
      <c r="L10" s="1035"/>
    </row>
    <row r="11" spans="1:12" s="395" customFormat="1" ht="24.75" customHeight="1">
      <c r="A11" s="1056"/>
      <c r="B11" s="509" t="s">
        <v>721</v>
      </c>
      <c r="C11" s="499"/>
      <c r="D11" s="501" t="s">
        <v>722</v>
      </c>
      <c r="E11" s="499"/>
      <c r="F11" s="520" t="s">
        <v>723</v>
      </c>
      <c r="G11" s="1052"/>
      <c r="H11" s="1052"/>
      <c r="I11" s="1052"/>
      <c r="J11" s="1052"/>
      <c r="K11" s="1052"/>
      <c r="L11" s="1053"/>
    </row>
    <row r="12" spans="1:12" s="395" customFormat="1" ht="24.75" customHeight="1" thickBot="1">
      <c r="A12" s="1057"/>
      <c r="B12" s="511" t="s">
        <v>724</v>
      </c>
      <c r="C12" s="1049"/>
      <c r="D12" s="1050"/>
      <c r="E12" s="1050"/>
      <c r="F12" s="1050"/>
      <c r="G12" s="1050"/>
      <c r="H12" s="1050"/>
      <c r="I12" s="1050"/>
      <c r="J12" s="1050"/>
      <c r="K12" s="1050"/>
      <c r="L12" s="1051"/>
    </row>
    <row r="13" spans="1:12" s="395" customFormat="1" ht="24.75" customHeight="1">
      <c r="A13" s="1055" t="s">
        <v>726</v>
      </c>
      <c r="B13" s="510" t="s">
        <v>717</v>
      </c>
      <c r="C13" s="746"/>
      <c r="D13" s="518" t="s">
        <v>718</v>
      </c>
      <c r="E13" s="746"/>
      <c r="F13" s="519" t="s">
        <v>719</v>
      </c>
      <c r="G13" s="1065"/>
      <c r="H13" s="1066"/>
      <c r="I13" s="1047" t="s">
        <v>720</v>
      </c>
      <c r="J13" s="1048"/>
      <c r="K13" s="1034"/>
      <c r="L13" s="1035"/>
    </row>
    <row r="14" spans="1:12" s="395" customFormat="1" ht="24.75" customHeight="1">
      <c r="A14" s="1056"/>
      <c r="B14" s="509" t="s">
        <v>721</v>
      </c>
      <c r="C14" s="499"/>
      <c r="D14" s="501" t="s">
        <v>722</v>
      </c>
      <c r="E14" s="499"/>
      <c r="F14" s="520" t="s">
        <v>723</v>
      </c>
      <c r="G14" s="1043"/>
      <c r="H14" s="1043"/>
      <c r="I14" s="1043"/>
      <c r="J14" s="1043"/>
      <c r="K14" s="1043"/>
      <c r="L14" s="1044"/>
    </row>
    <row r="15" spans="1:12" s="395" customFormat="1" ht="24.75" customHeight="1" thickBot="1">
      <c r="A15" s="1057"/>
      <c r="B15" s="511" t="s">
        <v>724</v>
      </c>
      <c r="C15" s="1049"/>
      <c r="D15" s="1050"/>
      <c r="E15" s="1050"/>
      <c r="F15" s="1050"/>
      <c r="G15" s="1050"/>
      <c r="H15" s="1050"/>
      <c r="I15" s="1050"/>
      <c r="J15" s="1050"/>
      <c r="K15" s="1050"/>
      <c r="L15" s="1051"/>
    </row>
    <row r="16" spans="1:12" s="395" customFormat="1" ht="24.75" customHeight="1" thickBot="1">
      <c r="A16" s="488"/>
      <c r="B16" s="489"/>
      <c r="C16" s="490"/>
      <c r="D16" s="1064" t="s">
        <v>727</v>
      </c>
      <c r="E16" s="1064"/>
      <c r="F16" s="491"/>
      <c r="G16" s="1061">
        <f>SUM(G8,G11,G14)</f>
        <v>0</v>
      </c>
      <c r="H16" s="1062"/>
      <c r="I16" s="1062"/>
      <c r="J16" s="1062"/>
      <c r="K16" s="1062"/>
      <c r="L16" s="1063"/>
    </row>
    <row r="17" spans="1:12" s="395" customFormat="1" ht="24.75" customHeight="1" thickBot="1">
      <c r="A17" s="492"/>
      <c r="B17" s="495" t="s">
        <v>728</v>
      </c>
      <c r="C17" s="494"/>
      <c r="D17" s="494"/>
      <c r="E17" s="494"/>
      <c r="F17" s="495"/>
      <c r="G17" s="495"/>
      <c r="H17" s="495"/>
      <c r="I17" s="496"/>
      <c r="J17" s="496"/>
      <c r="K17" s="496"/>
      <c r="L17" s="497"/>
    </row>
    <row r="18" spans="1:12" s="395" customFormat="1" ht="24.75" customHeight="1">
      <c r="A18" s="424"/>
      <c r="B18" s="514" t="s">
        <v>729</v>
      </c>
      <c r="C18" s="1040"/>
      <c r="D18" s="1041"/>
      <c r="E18" s="1041"/>
      <c r="F18" s="1041"/>
      <c r="G18" s="1041"/>
      <c r="H18" s="1041"/>
      <c r="I18" s="1041"/>
      <c r="J18" s="1041"/>
      <c r="K18" s="1041"/>
      <c r="L18" s="1042"/>
    </row>
    <row r="19" spans="1:12" s="395" customFormat="1" ht="24.75" customHeight="1">
      <c r="A19" s="502"/>
      <c r="B19" s="512" t="s">
        <v>730</v>
      </c>
      <c r="C19" s="1058"/>
      <c r="D19" s="1059"/>
      <c r="E19" s="1059"/>
      <c r="F19" s="1059"/>
      <c r="G19" s="1059"/>
      <c r="H19" s="1059"/>
      <c r="I19" s="1059"/>
      <c r="J19" s="1059"/>
      <c r="K19" s="1059"/>
      <c r="L19" s="1060"/>
    </row>
    <row r="20" spans="1:12" s="395" customFormat="1" ht="24.75" customHeight="1">
      <c r="A20" s="502"/>
      <c r="B20" s="512" t="s">
        <v>731</v>
      </c>
      <c r="C20" s="1026"/>
      <c r="D20" s="1026"/>
      <c r="E20" s="1026"/>
      <c r="F20" s="1038" t="s">
        <v>732</v>
      </c>
      <c r="G20" s="1039"/>
      <c r="H20" s="516"/>
      <c r="I20" s="1036" t="s">
        <v>469</v>
      </c>
      <c r="J20" s="1037"/>
      <c r="K20" s="517"/>
      <c r="L20" s="503" t="s">
        <v>733</v>
      </c>
    </row>
    <row r="21" spans="1:12" s="395" customFormat="1" ht="24.75" customHeight="1" thickBot="1">
      <c r="A21" s="513"/>
      <c r="B21" s="515" t="s">
        <v>734</v>
      </c>
      <c r="C21" s="1024"/>
      <c r="D21" s="1024"/>
      <c r="E21" s="1024"/>
      <c r="F21" s="1024"/>
      <c r="G21" s="1024"/>
      <c r="H21" s="1024"/>
      <c r="I21" s="1024"/>
      <c r="J21" s="1024"/>
      <c r="K21" s="1024"/>
      <c r="L21" s="1025"/>
    </row>
    <row r="22" spans="1:12" s="395" customFormat="1" ht="24.75" customHeight="1">
      <c r="A22" s="387" t="s">
        <v>735</v>
      </c>
      <c r="B22" s="407"/>
      <c r="C22" s="408"/>
      <c r="D22" s="408"/>
      <c r="E22" s="408"/>
      <c r="F22" s="407"/>
      <c r="G22" s="407"/>
      <c r="H22" s="407"/>
      <c r="I22" s="409"/>
      <c r="J22" s="409"/>
      <c r="K22" s="409"/>
      <c r="L22" s="410"/>
    </row>
    <row r="23" spans="1:12" s="395" customFormat="1" ht="24.75" customHeight="1">
      <c r="A23" s="411"/>
      <c r="B23" s="407"/>
      <c r="C23" s="408"/>
      <c r="D23" s="408"/>
      <c r="E23" s="408"/>
      <c r="F23" s="407"/>
      <c r="G23" s="407"/>
      <c r="H23" s="407"/>
      <c r="I23" s="409"/>
      <c r="J23" s="409"/>
      <c r="K23" s="409"/>
      <c r="L23" s="410"/>
    </row>
    <row r="24" spans="1:12" s="395" customFormat="1" ht="24.75" customHeight="1">
      <c r="A24" s="411"/>
      <c r="B24" s="407"/>
      <c r="C24" s="408"/>
      <c r="D24" s="408"/>
      <c r="E24" s="408"/>
      <c r="F24" s="407"/>
      <c r="G24" s="407"/>
      <c r="H24" s="407"/>
      <c r="I24" s="409"/>
      <c r="J24" s="409"/>
      <c r="K24" s="409"/>
      <c r="L24" s="410"/>
    </row>
    <row r="25" spans="1:12" s="395" customFormat="1" ht="24.75" customHeight="1">
      <c r="A25" s="411"/>
      <c r="B25" s="407"/>
      <c r="C25" s="408"/>
      <c r="D25" s="408"/>
      <c r="E25" s="408"/>
      <c r="F25" s="407"/>
      <c r="G25" s="407"/>
      <c r="H25" s="407"/>
      <c r="I25" s="409"/>
      <c r="J25" s="409"/>
      <c r="K25" s="409"/>
      <c r="L25" s="410"/>
    </row>
    <row r="26" spans="1:12" s="395" customFormat="1" ht="24.75" customHeight="1">
      <c r="A26" s="411"/>
      <c r="B26" s="412"/>
      <c r="C26" s="408"/>
      <c r="D26" s="408"/>
      <c r="E26" s="408"/>
      <c r="F26" s="407"/>
      <c r="G26" s="407"/>
      <c r="H26" s="407"/>
      <c r="I26" s="409"/>
      <c r="J26" s="409"/>
      <c r="K26" s="409"/>
      <c r="L26" s="410"/>
    </row>
    <row r="27" spans="1:12" ht="18" customHeight="1">
      <c r="A27" s="406"/>
      <c r="B27" s="391"/>
      <c r="C27" s="391"/>
      <c r="D27" s="391"/>
      <c r="E27" s="391"/>
      <c r="F27" s="391"/>
      <c r="G27" s="391"/>
      <c r="H27" s="391"/>
      <c r="I27" s="391"/>
      <c r="J27" s="391"/>
      <c r="K27" s="391"/>
      <c r="L27" s="413"/>
    </row>
    <row r="28" spans="1:12" ht="18" customHeight="1">
      <c r="A28" s="406"/>
      <c r="B28" s="391"/>
      <c r="C28" s="391"/>
      <c r="D28" s="391"/>
      <c r="E28" s="391"/>
      <c r="F28" s="391"/>
      <c r="G28" s="391"/>
      <c r="H28" s="391"/>
      <c r="I28" s="391"/>
      <c r="J28" s="391"/>
      <c r="K28" s="391"/>
      <c r="L28" s="413"/>
    </row>
    <row r="29" spans="1:12" ht="18" customHeight="1">
      <c r="A29" s="406"/>
      <c r="B29" s="391"/>
      <c r="C29" s="391"/>
      <c r="D29" s="391"/>
      <c r="E29" s="391"/>
      <c r="F29" s="391"/>
      <c r="G29" s="391"/>
      <c r="H29" s="391"/>
      <c r="I29" s="391"/>
      <c r="J29" s="391"/>
      <c r="K29" s="391"/>
      <c r="L29" s="413"/>
    </row>
    <row r="30" spans="1:12" ht="18" customHeight="1">
      <c r="A30" s="406"/>
      <c r="B30" s="391"/>
      <c r="C30" s="391"/>
      <c r="D30" s="391"/>
      <c r="E30" s="391"/>
      <c r="F30" s="391"/>
      <c r="G30" s="391"/>
      <c r="H30" s="391"/>
      <c r="I30" s="391"/>
      <c r="J30" s="391"/>
      <c r="K30" s="391"/>
      <c r="L30" s="413"/>
    </row>
    <row r="31" spans="1:12" ht="18" customHeight="1">
      <c r="A31" s="406"/>
      <c r="B31" s="391"/>
      <c r="C31" s="391"/>
      <c r="D31" s="391"/>
      <c r="E31" s="391"/>
      <c r="F31" s="391"/>
      <c r="G31" s="391"/>
      <c r="H31" s="391"/>
      <c r="I31" s="391"/>
      <c r="J31" s="391"/>
      <c r="K31" s="391"/>
      <c r="L31" s="413"/>
    </row>
    <row r="32" spans="1:12" ht="18" customHeight="1">
      <c r="A32" s="406"/>
      <c r="B32" s="391"/>
      <c r="C32" s="391"/>
      <c r="D32" s="391"/>
      <c r="E32" s="391"/>
      <c r="F32" s="391"/>
      <c r="G32" s="391"/>
      <c r="H32" s="391"/>
      <c r="I32" s="391"/>
      <c r="J32" s="391"/>
      <c r="K32" s="391"/>
      <c r="L32" s="413"/>
    </row>
    <row r="33" spans="1:12" ht="18" customHeight="1">
      <c r="A33" s="406"/>
      <c r="B33" s="391"/>
      <c r="C33" s="391"/>
      <c r="D33" s="391"/>
      <c r="E33" s="391"/>
      <c r="F33" s="391"/>
      <c r="G33" s="391"/>
      <c r="H33" s="391"/>
      <c r="I33" s="391"/>
      <c r="J33" s="391"/>
      <c r="K33" s="391"/>
      <c r="L33" s="413"/>
    </row>
    <row r="34" spans="1:12" ht="18" customHeight="1">
      <c r="A34" s="406"/>
      <c r="B34" s="391"/>
      <c r="C34" s="391"/>
      <c r="D34" s="391"/>
      <c r="E34" s="391"/>
      <c r="F34" s="391"/>
      <c r="G34" s="391"/>
      <c r="H34" s="391"/>
      <c r="I34" s="391"/>
      <c r="J34" s="391"/>
      <c r="K34" s="391"/>
      <c r="L34" s="413"/>
    </row>
    <row r="35" spans="1:12" ht="18" customHeight="1">
      <c r="A35" s="406"/>
      <c r="B35" s="391"/>
      <c r="C35" s="391"/>
      <c r="D35" s="391"/>
      <c r="E35" s="391"/>
      <c r="F35" s="391"/>
      <c r="G35" s="391"/>
      <c r="H35" s="391"/>
      <c r="I35" s="391"/>
      <c r="J35" s="391"/>
      <c r="K35" s="391"/>
      <c r="L35" s="413"/>
    </row>
    <row r="36" spans="1:12" ht="18" customHeight="1">
      <c r="A36" s="406"/>
      <c r="B36" s="391"/>
      <c r="C36" s="391"/>
      <c r="D36" s="391"/>
      <c r="E36" s="391"/>
      <c r="F36" s="391"/>
      <c r="G36" s="391"/>
      <c r="H36" s="391"/>
      <c r="I36" s="391"/>
      <c r="J36" s="391"/>
      <c r="K36" s="391"/>
      <c r="L36" s="413"/>
    </row>
    <row r="37" spans="1:12" ht="18" customHeight="1">
      <c r="A37" s="393"/>
      <c r="B37" s="716"/>
      <c r="C37" s="716"/>
      <c r="D37" s="716"/>
      <c r="E37" s="716"/>
      <c r="F37" s="716"/>
      <c r="G37" s="716"/>
      <c r="H37" s="716"/>
      <c r="I37" s="716"/>
      <c r="J37" s="716"/>
      <c r="K37" s="716"/>
      <c r="L37" s="717"/>
    </row>
  </sheetData>
  <mergeCells count="37">
    <mergeCell ref="A7:A9"/>
    <mergeCell ref="A10:A12"/>
    <mergeCell ref="K7:L7"/>
    <mergeCell ref="G1:I1"/>
    <mergeCell ref="A1:F1"/>
    <mergeCell ref="I7:J7"/>
    <mergeCell ref="J1:L1"/>
    <mergeCell ref="E2:F3"/>
    <mergeCell ref="D2:D3"/>
    <mergeCell ref="C2:C3"/>
    <mergeCell ref="B2:B3"/>
    <mergeCell ref="A13:A15"/>
    <mergeCell ref="C19:L19"/>
    <mergeCell ref="G16:L16"/>
    <mergeCell ref="D16:E16"/>
    <mergeCell ref="G10:H10"/>
    <mergeCell ref="G13:H13"/>
    <mergeCell ref="C12:L12"/>
    <mergeCell ref="C15:L15"/>
    <mergeCell ref="I10:J10"/>
    <mergeCell ref="G11:L11"/>
    <mergeCell ref="C21:L21"/>
    <mergeCell ref="C20:E20"/>
    <mergeCell ref="C5:E5"/>
    <mergeCell ref="G4:L4"/>
    <mergeCell ref="G5:L5"/>
    <mergeCell ref="K10:L10"/>
    <mergeCell ref="K13:L13"/>
    <mergeCell ref="I20:J20"/>
    <mergeCell ref="F20:G20"/>
    <mergeCell ref="C18:L18"/>
    <mergeCell ref="G14:L14"/>
    <mergeCell ref="G7:H7"/>
    <mergeCell ref="I13:J13"/>
    <mergeCell ref="C9:L9"/>
    <mergeCell ref="G8:L8"/>
    <mergeCell ref="C4:E4"/>
  </mergeCells>
  <phoneticPr fontId="2"/>
  <dataValidations count="2">
    <dataValidation imeMode="hiragana" allowBlank="1" showInputMessage="1" showErrorMessage="1" sqref="C21:L21 C15:L15 C12:L12 C9:L9 C4:E4 C5:E5 G4:L4 G5:L5 K7:L7 G7:H7 E7 C7 C10 E10 G10:H10 K10:L10 K13:L13 G13:H13 E13 C13 C18:L18 C19:L19" xr:uid="{00000000-0002-0000-0700-000000000000}"/>
    <dataValidation imeMode="off" allowBlank="1" showInputMessage="1" showErrorMessage="1" sqref="C20:E20 H20 K20 G14:L14 G11:L11 G8:L8 C8 E8 E11 C11 C14 E14" xr:uid="{00000000-0002-0000-0700-000001000000}"/>
  </dataValidations>
  <pageMargins left="0.70866141732283472" right="0.15748031496062992" top="0.51181102362204722" bottom="0.39" header="0.23622047244094491" footer="0.19685039370078741"/>
  <pageSetup paperSize="9" orientation="portrait" horizontalDpi="4294967294" r:id="rId1"/>
  <headerFooter alignWithMargins="0">
    <oddHeader>&amp;R&amp;D</oddHeader>
    <oddFooter>&amp;L&amp;F&amp;R&amp;A</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autoPageBreaks="0"/>
  </sheetPr>
  <dimension ref="A1:J48"/>
  <sheetViews>
    <sheetView showGridLines="0" zoomScaleNormal="100" workbookViewId="0">
      <pane ySplit="4" topLeftCell="A5" activePane="bottomLeft" state="frozen"/>
      <selection pane="bottomLeft" sqref="A1:E1"/>
      <selection activeCell="C19" sqref="C19:L19"/>
    </sheetView>
  </sheetViews>
  <sheetFormatPr defaultColWidth="9" defaultRowHeight="13.5"/>
  <cols>
    <col min="1" max="1" width="11" style="376" bestFit="1" customWidth="1"/>
    <col min="2" max="2" width="13.125" style="57" bestFit="1" customWidth="1"/>
    <col min="3" max="3" width="10.375" style="57" customWidth="1"/>
    <col min="4" max="4" width="25.375" style="57" customWidth="1"/>
    <col min="5" max="5" width="7.625" style="377" customWidth="1"/>
    <col min="6" max="6" width="4.625" style="57" customWidth="1"/>
    <col min="7" max="7" width="10.625" style="377" customWidth="1"/>
    <col min="8" max="8" width="14" style="57" customWidth="1"/>
    <col min="9" max="9" width="9" style="57"/>
    <col min="10" max="10" width="11.625" style="57" hidden="1" customWidth="1"/>
    <col min="11" max="16384" width="9" style="57"/>
  </cols>
  <sheetData>
    <row r="1" spans="1:10" s="368" customFormat="1" ht="24.75" customHeight="1">
      <c r="A1" s="1072" t="str">
        <f>入力シート!A1&amp;"年"&amp;入力シート!A2&amp;"月度"&amp;"　　立替旅費等精算申請書"</f>
        <v>2021年8月度　　立替旅費等精算申請書</v>
      </c>
      <c r="B1" s="1073"/>
      <c r="C1" s="1073"/>
      <c r="D1" s="1073"/>
      <c r="E1" s="1074"/>
      <c r="F1" s="1093" t="s">
        <v>672</v>
      </c>
      <c r="G1" s="1094"/>
      <c r="H1" s="748" t="s">
        <v>671</v>
      </c>
      <c r="J1" s="117" t="s">
        <v>736</v>
      </c>
    </row>
    <row r="2" spans="1:10" ht="24.95" customHeight="1">
      <c r="A2" s="1108" t="s">
        <v>737</v>
      </c>
      <c r="B2" s="1087" t="str">
        <f>入力シート!C2</f>
        <v>中村 知義</v>
      </c>
      <c r="C2" s="1101" t="s">
        <v>473</v>
      </c>
      <c r="D2" s="1097" t="str">
        <f>入力シート!G2</f>
        <v>矢崎総業（株）内</v>
      </c>
      <c r="E2" s="1098"/>
      <c r="F2" s="369"/>
      <c r="G2" s="370"/>
      <c r="H2" s="371"/>
      <c r="J2" s="117" t="s">
        <v>738</v>
      </c>
    </row>
    <row r="3" spans="1:10" ht="24.95" customHeight="1">
      <c r="A3" s="1109"/>
      <c r="B3" s="1088"/>
      <c r="C3" s="1102"/>
      <c r="D3" s="1099"/>
      <c r="E3" s="1100"/>
      <c r="F3" s="372"/>
      <c r="G3" s="718"/>
      <c r="H3" s="719"/>
      <c r="J3" s="117" t="s">
        <v>739</v>
      </c>
    </row>
    <row r="4" spans="1:10">
      <c r="A4" s="418" t="s">
        <v>740</v>
      </c>
      <c r="B4" s="419" t="s">
        <v>741</v>
      </c>
      <c r="C4" s="1095" t="s">
        <v>742</v>
      </c>
      <c r="D4" s="1096"/>
      <c r="E4" s="420" t="s">
        <v>743</v>
      </c>
      <c r="F4" s="419" t="s">
        <v>744</v>
      </c>
      <c r="G4" s="420" t="s">
        <v>745</v>
      </c>
      <c r="H4" s="419" t="s">
        <v>746</v>
      </c>
      <c r="J4" s="117" t="s">
        <v>747</v>
      </c>
    </row>
    <row r="5" spans="1:10" ht="18" customHeight="1">
      <c r="A5" s="378"/>
      <c r="B5" s="379"/>
      <c r="C5" s="1089"/>
      <c r="D5" s="1090"/>
      <c r="E5" s="380"/>
      <c r="F5" s="379"/>
      <c r="G5" s="373">
        <f>E5*F5</f>
        <v>0</v>
      </c>
      <c r="H5" s="421"/>
      <c r="J5" s="117" t="s">
        <v>582</v>
      </c>
    </row>
    <row r="6" spans="1:10" ht="18" customHeight="1">
      <c r="A6" s="381"/>
      <c r="B6" s="382"/>
      <c r="C6" s="1091"/>
      <c r="D6" s="1092"/>
      <c r="E6" s="383"/>
      <c r="F6" s="382"/>
      <c r="G6" s="374">
        <f t="shared" ref="G6:G12" si="0">E6*F6</f>
        <v>0</v>
      </c>
      <c r="H6" s="422"/>
      <c r="J6" s="117"/>
    </row>
    <row r="7" spans="1:10" ht="18" customHeight="1">
      <c r="A7" s="378"/>
      <c r="B7" s="379"/>
      <c r="C7" s="1089"/>
      <c r="D7" s="1090"/>
      <c r="E7" s="380"/>
      <c r="F7" s="379"/>
      <c r="G7" s="373">
        <f t="shared" si="0"/>
        <v>0</v>
      </c>
      <c r="H7" s="421"/>
    </row>
    <row r="8" spans="1:10" ht="18" customHeight="1">
      <c r="A8" s="381"/>
      <c r="B8" s="382"/>
      <c r="C8" s="1091"/>
      <c r="D8" s="1092"/>
      <c r="E8" s="383"/>
      <c r="F8" s="382"/>
      <c r="G8" s="374">
        <f t="shared" si="0"/>
        <v>0</v>
      </c>
      <c r="H8" s="422"/>
    </row>
    <row r="9" spans="1:10" ht="18" customHeight="1">
      <c r="A9" s="378"/>
      <c r="B9" s="379"/>
      <c r="C9" s="1089"/>
      <c r="D9" s="1090"/>
      <c r="E9" s="380"/>
      <c r="F9" s="379"/>
      <c r="G9" s="373">
        <f t="shared" si="0"/>
        <v>0</v>
      </c>
      <c r="H9" s="421"/>
    </row>
    <row r="10" spans="1:10" ht="18" customHeight="1">
      <c r="A10" s="381"/>
      <c r="B10" s="382"/>
      <c r="C10" s="1091"/>
      <c r="D10" s="1092"/>
      <c r="E10" s="383"/>
      <c r="F10" s="382"/>
      <c r="G10" s="374">
        <f t="shared" si="0"/>
        <v>0</v>
      </c>
      <c r="H10" s="422"/>
    </row>
    <row r="11" spans="1:10" ht="18" customHeight="1">
      <c r="A11" s="378"/>
      <c r="B11" s="379"/>
      <c r="C11" s="1089"/>
      <c r="D11" s="1090"/>
      <c r="E11" s="380"/>
      <c r="F11" s="379"/>
      <c r="G11" s="373">
        <f t="shared" si="0"/>
        <v>0</v>
      </c>
      <c r="H11" s="421"/>
    </row>
    <row r="12" spans="1:10" ht="18" customHeight="1">
      <c r="A12" s="381"/>
      <c r="B12" s="382"/>
      <c r="C12" s="1091"/>
      <c r="D12" s="1092"/>
      <c r="E12" s="383"/>
      <c r="F12" s="382"/>
      <c r="G12" s="374">
        <f t="shared" si="0"/>
        <v>0</v>
      </c>
      <c r="H12" s="422"/>
    </row>
    <row r="13" spans="1:10" ht="18" customHeight="1">
      <c r="A13" s="378"/>
      <c r="B13" s="379"/>
      <c r="C13" s="1089"/>
      <c r="D13" s="1090"/>
      <c r="E13" s="380"/>
      <c r="F13" s="379"/>
      <c r="G13" s="373">
        <f t="shared" ref="G13:G40" si="1">E13*F13</f>
        <v>0</v>
      </c>
      <c r="H13" s="421"/>
    </row>
    <row r="14" spans="1:10" ht="18" customHeight="1">
      <c r="A14" s="381"/>
      <c r="B14" s="382"/>
      <c r="C14" s="1091"/>
      <c r="D14" s="1092"/>
      <c r="E14" s="383"/>
      <c r="F14" s="382"/>
      <c r="G14" s="374">
        <f t="shared" si="1"/>
        <v>0</v>
      </c>
      <c r="H14" s="422"/>
    </row>
    <row r="15" spans="1:10" ht="18" customHeight="1">
      <c r="A15" s="378"/>
      <c r="B15" s="379"/>
      <c r="C15" s="1089"/>
      <c r="D15" s="1090"/>
      <c r="E15" s="380"/>
      <c r="F15" s="379"/>
      <c r="G15" s="373">
        <f t="shared" si="1"/>
        <v>0</v>
      </c>
      <c r="H15" s="421"/>
    </row>
    <row r="16" spans="1:10" ht="18" customHeight="1">
      <c r="A16" s="381"/>
      <c r="B16" s="382"/>
      <c r="C16" s="1091"/>
      <c r="D16" s="1092"/>
      <c r="E16" s="383"/>
      <c r="F16" s="382"/>
      <c r="G16" s="374">
        <f t="shared" si="1"/>
        <v>0</v>
      </c>
      <c r="H16" s="422"/>
    </row>
    <row r="17" spans="1:8" ht="18" customHeight="1">
      <c r="A17" s="378"/>
      <c r="B17" s="379"/>
      <c r="C17" s="1089"/>
      <c r="D17" s="1090"/>
      <c r="E17" s="380"/>
      <c r="F17" s="379"/>
      <c r="G17" s="373">
        <f t="shared" si="1"/>
        <v>0</v>
      </c>
      <c r="H17" s="421"/>
    </row>
    <row r="18" spans="1:8" ht="18" customHeight="1">
      <c r="A18" s="381"/>
      <c r="B18" s="382"/>
      <c r="C18" s="1091"/>
      <c r="D18" s="1092"/>
      <c r="E18" s="383"/>
      <c r="F18" s="382"/>
      <c r="G18" s="374">
        <f t="shared" si="1"/>
        <v>0</v>
      </c>
      <c r="H18" s="422"/>
    </row>
    <row r="19" spans="1:8" ht="18" customHeight="1">
      <c r="A19" s="378"/>
      <c r="B19" s="379"/>
      <c r="C19" s="1089"/>
      <c r="D19" s="1090"/>
      <c r="E19" s="380"/>
      <c r="F19" s="379"/>
      <c r="G19" s="373">
        <f t="shared" si="1"/>
        <v>0</v>
      </c>
      <c r="H19" s="421"/>
    </row>
    <row r="20" spans="1:8" ht="18" customHeight="1">
      <c r="A20" s="381"/>
      <c r="B20" s="382"/>
      <c r="C20" s="1091"/>
      <c r="D20" s="1092"/>
      <c r="E20" s="383"/>
      <c r="F20" s="382"/>
      <c r="G20" s="374">
        <f t="shared" si="1"/>
        <v>0</v>
      </c>
      <c r="H20" s="422"/>
    </row>
    <row r="21" spans="1:8" ht="18" customHeight="1">
      <c r="A21" s="378"/>
      <c r="B21" s="379"/>
      <c r="C21" s="1089"/>
      <c r="D21" s="1090"/>
      <c r="E21" s="380"/>
      <c r="F21" s="379"/>
      <c r="G21" s="373">
        <f t="shared" si="1"/>
        <v>0</v>
      </c>
      <c r="H21" s="421"/>
    </row>
    <row r="22" spans="1:8" ht="18" customHeight="1">
      <c r="A22" s="381"/>
      <c r="B22" s="382"/>
      <c r="C22" s="1091"/>
      <c r="D22" s="1092"/>
      <c r="E22" s="383"/>
      <c r="F22" s="382"/>
      <c r="G22" s="374">
        <f t="shared" si="1"/>
        <v>0</v>
      </c>
      <c r="H22" s="422"/>
    </row>
    <row r="23" spans="1:8" ht="18" customHeight="1">
      <c r="A23" s="378"/>
      <c r="B23" s="379"/>
      <c r="C23" s="1089"/>
      <c r="D23" s="1090"/>
      <c r="E23" s="380"/>
      <c r="F23" s="379"/>
      <c r="G23" s="373">
        <f t="shared" si="1"/>
        <v>0</v>
      </c>
      <c r="H23" s="421"/>
    </row>
    <row r="24" spans="1:8" ht="18" customHeight="1">
      <c r="A24" s="381"/>
      <c r="B24" s="382"/>
      <c r="C24" s="1091"/>
      <c r="D24" s="1092"/>
      <c r="E24" s="383"/>
      <c r="F24" s="382"/>
      <c r="G24" s="374">
        <f t="shared" si="1"/>
        <v>0</v>
      </c>
      <c r="H24" s="422"/>
    </row>
    <row r="25" spans="1:8" ht="18" customHeight="1">
      <c r="A25" s="378"/>
      <c r="B25" s="379"/>
      <c r="C25" s="1089"/>
      <c r="D25" s="1090"/>
      <c r="E25" s="380"/>
      <c r="F25" s="379"/>
      <c r="G25" s="373">
        <f t="shared" si="1"/>
        <v>0</v>
      </c>
      <c r="H25" s="421"/>
    </row>
    <row r="26" spans="1:8" ht="18" customHeight="1">
      <c r="A26" s="381"/>
      <c r="B26" s="382"/>
      <c r="C26" s="1091"/>
      <c r="D26" s="1092"/>
      <c r="E26" s="383"/>
      <c r="F26" s="382"/>
      <c r="G26" s="374">
        <f t="shared" si="1"/>
        <v>0</v>
      </c>
      <c r="H26" s="422"/>
    </row>
    <row r="27" spans="1:8" ht="18" customHeight="1">
      <c r="A27" s="378"/>
      <c r="B27" s="379"/>
      <c r="C27" s="1089"/>
      <c r="D27" s="1090"/>
      <c r="E27" s="380"/>
      <c r="F27" s="379"/>
      <c r="G27" s="373">
        <f t="shared" si="1"/>
        <v>0</v>
      </c>
      <c r="H27" s="421"/>
    </row>
    <row r="28" spans="1:8" ht="18" customHeight="1">
      <c r="A28" s="381"/>
      <c r="B28" s="382"/>
      <c r="C28" s="1091"/>
      <c r="D28" s="1092"/>
      <c r="E28" s="383"/>
      <c r="F28" s="382"/>
      <c r="G28" s="374">
        <f t="shared" si="1"/>
        <v>0</v>
      </c>
      <c r="H28" s="422"/>
    </row>
    <row r="29" spans="1:8" ht="18" customHeight="1">
      <c r="A29" s="378"/>
      <c r="B29" s="379"/>
      <c r="C29" s="1089"/>
      <c r="D29" s="1090"/>
      <c r="E29" s="380"/>
      <c r="F29" s="379"/>
      <c r="G29" s="373">
        <f t="shared" si="1"/>
        <v>0</v>
      </c>
      <c r="H29" s="421"/>
    </row>
    <row r="30" spans="1:8" ht="18" customHeight="1">
      <c r="A30" s="381"/>
      <c r="B30" s="382"/>
      <c r="C30" s="1091"/>
      <c r="D30" s="1092"/>
      <c r="E30" s="383"/>
      <c r="F30" s="382"/>
      <c r="G30" s="374">
        <f t="shared" si="1"/>
        <v>0</v>
      </c>
      <c r="H30" s="422"/>
    </row>
    <row r="31" spans="1:8" ht="18" customHeight="1">
      <c r="A31" s="378"/>
      <c r="B31" s="379"/>
      <c r="C31" s="1089"/>
      <c r="D31" s="1090"/>
      <c r="E31" s="380"/>
      <c r="F31" s="379"/>
      <c r="G31" s="373">
        <f t="shared" si="1"/>
        <v>0</v>
      </c>
      <c r="H31" s="421"/>
    </row>
    <row r="32" spans="1:8" ht="18" customHeight="1">
      <c r="A32" s="381"/>
      <c r="B32" s="382"/>
      <c r="C32" s="1091"/>
      <c r="D32" s="1092"/>
      <c r="E32" s="383"/>
      <c r="F32" s="382"/>
      <c r="G32" s="374">
        <f t="shared" si="1"/>
        <v>0</v>
      </c>
      <c r="H32" s="422"/>
    </row>
    <row r="33" spans="1:8" ht="18" customHeight="1">
      <c r="A33" s="378"/>
      <c r="B33" s="379"/>
      <c r="C33" s="1089"/>
      <c r="D33" s="1090"/>
      <c r="E33" s="380"/>
      <c r="F33" s="379"/>
      <c r="G33" s="373">
        <f t="shared" si="1"/>
        <v>0</v>
      </c>
      <c r="H33" s="421"/>
    </row>
    <row r="34" spans="1:8" ht="18" customHeight="1">
      <c r="A34" s="381"/>
      <c r="B34" s="382"/>
      <c r="C34" s="1091"/>
      <c r="D34" s="1092"/>
      <c r="E34" s="383"/>
      <c r="F34" s="382"/>
      <c r="G34" s="374">
        <f t="shared" si="1"/>
        <v>0</v>
      </c>
      <c r="H34" s="422"/>
    </row>
    <row r="35" spans="1:8" ht="18" customHeight="1">
      <c r="A35" s="378"/>
      <c r="B35" s="379"/>
      <c r="C35" s="1089"/>
      <c r="D35" s="1090"/>
      <c r="E35" s="380"/>
      <c r="F35" s="379"/>
      <c r="G35" s="373">
        <f t="shared" si="1"/>
        <v>0</v>
      </c>
      <c r="H35" s="421"/>
    </row>
    <row r="36" spans="1:8" ht="18" customHeight="1">
      <c r="A36" s="381"/>
      <c r="B36" s="382"/>
      <c r="C36" s="1091"/>
      <c r="D36" s="1092"/>
      <c r="E36" s="383"/>
      <c r="F36" s="382"/>
      <c r="G36" s="374">
        <f t="shared" si="1"/>
        <v>0</v>
      </c>
      <c r="H36" s="422"/>
    </row>
    <row r="37" spans="1:8" ht="18" customHeight="1">
      <c r="A37" s="378"/>
      <c r="B37" s="379"/>
      <c r="C37" s="1089"/>
      <c r="D37" s="1090"/>
      <c r="E37" s="380"/>
      <c r="F37" s="379"/>
      <c r="G37" s="373">
        <f t="shared" si="1"/>
        <v>0</v>
      </c>
      <c r="H37" s="421"/>
    </row>
    <row r="38" spans="1:8" ht="18" customHeight="1">
      <c r="A38" s="381"/>
      <c r="B38" s="382"/>
      <c r="C38" s="1091"/>
      <c r="D38" s="1092"/>
      <c r="E38" s="383"/>
      <c r="F38" s="382"/>
      <c r="G38" s="374">
        <f t="shared" si="1"/>
        <v>0</v>
      </c>
      <c r="H38" s="422"/>
    </row>
    <row r="39" spans="1:8" ht="18" customHeight="1">
      <c r="A39" s="378"/>
      <c r="B39" s="379"/>
      <c r="C39" s="1089"/>
      <c r="D39" s="1090"/>
      <c r="E39" s="380"/>
      <c r="F39" s="379"/>
      <c r="G39" s="373">
        <f t="shared" si="1"/>
        <v>0</v>
      </c>
      <c r="H39" s="421"/>
    </row>
    <row r="40" spans="1:8" ht="18" customHeight="1">
      <c r="A40" s="381"/>
      <c r="B40" s="382"/>
      <c r="C40" s="1091"/>
      <c r="D40" s="1092"/>
      <c r="E40" s="383"/>
      <c r="F40" s="382"/>
      <c r="G40" s="374">
        <f t="shared" si="1"/>
        <v>0</v>
      </c>
      <c r="H40" s="422"/>
    </row>
    <row r="41" spans="1:8" ht="18" customHeight="1">
      <c r="A41" s="378"/>
      <c r="B41" s="379"/>
      <c r="C41" s="1089"/>
      <c r="D41" s="1090"/>
      <c r="E41" s="380"/>
      <c r="F41" s="379"/>
      <c r="G41" s="373">
        <f>E41*F41</f>
        <v>0</v>
      </c>
      <c r="H41" s="421"/>
    </row>
    <row r="42" spans="1:8" ht="18" customHeight="1">
      <c r="A42" s="381"/>
      <c r="B42" s="382"/>
      <c r="C42" s="1091"/>
      <c r="D42" s="1092"/>
      <c r="E42" s="383"/>
      <c r="F42" s="382"/>
      <c r="G42" s="374">
        <f>E42*F42</f>
        <v>0</v>
      </c>
      <c r="H42" s="422"/>
    </row>
    <row r="43" spans="1:8" ht="18" customHeight="1">
      <c r="A43" s="378"/>
      <c r="B43" s="379"/>
      <c r="C43" s="1089"/>
      <c r="D43" s="1090"/>
      <c r="E43" s="380"/>
      <c r="F43" s="379"/>
      <c r="G43" s="373">
        <f>E43*F43</f>
        <v>0</v>
      </c>
      <c r="H43" s="421"/>
    </row>
    <row r="44" spans="1:8" ht="18" customHeight="1" thickBot="1">
      <c r="A44" s="384"/>
      <c r="B44" s="385"/>
      <c r="C44" s="1106"/>
      <c r="D44" s="1107"/>
      <c r="E44" s="386"/>
      <c r="F44" s="385"/>
      <c r="G44" s="375">
        <f>E44*F44</f>
        <v>0</v>
      </c>
      <c r="H44" s="423"/>
    </row>
    <row r="45" spans="1:8" ht="36" customHeight="1" thickBot="1">
      <c r="A45" s="414"/>
      <c r="B45" s="415"/>
      <c r="C45" s="1103" t="s">
        <v>537</v>
      </c>
      <c r="D45" s="1103"/>
      <c r="E45" s="416"/>
      <c r="F45" s="417"/>
      <c r="G45" s="1104">
        <f>SUM(G5:G44)</f>
        <v>0</v>
      </c>
      <c r="H45" s="1105"/>
    </row>
    <row r="46" spans="1:8" ht="18" customHeight="1"/>
    <row r="47" spans="1:8" ht="18" customHeight="1"/>
    <row r="48" spans="1:8" ht="18" customHeight="1"/>
  </sheetData>
  <mergeCells count="49">
    <mergeCell ref="A2:A3"/>
    <mergeCell ref="C39:D39"/>
    <mergeCell ref="C40:D40"/>
    <mergeCell ref="C38:D38"/>
    <mergeCell ref="C27:D27"/>
    <mergeCell ref="C28:D28"/>
    <mergeCell ref="C29:D29"/>
    <mergeCell ref="C30:D30"/>
    <mergeCell ref="C31:D31"/>
    <mergeCell ref="C32:D32"/>
    <mergeCell ref="C33:D33"/>
    <mergeCell ref="C34:D34"/>
    <mergeCell ref="C35:D35"/>
    <mergeCell ref="C36:D36"/>
    <mergeCell ref="C37:D37"/>
    <mergeCell ref="C26:D26"/>
    <mergeCell ref="C45:D45"/>
    <mergeCell ref="G45:H45"/>
    <mergeCell ref="C41:D41"/>
    <mergeCell ref="C42:D42"/>
    <mergeCell ref="C43:D43"/>
    <mergeCell ref="C44:D44"/>
    <mergeCell ref="C24:D24"/>
    <mergeCell ref="C15:D15"/>
    <mergeCell ref="C16:D16"/>
    <mergeCell ref="C17:D17"/>
    <mergeCell ref="C18:D18"/>
    <mergeCell ref="C19:D19"/>
    <mergeCell ref="C2:C3"/>
    <mergeCell ref="C20:D20"/>
    <mergeCell ref="C21:D21"/>
    <mergeCell ref="C22:D22"/>
    <mergeCell ref="C23:D23"/>
    <mergeCell ref="B2:B3"/>
    <mergeCell ref="C25:D25"/>
    <mergeCell ref="C14:D14"/>
    <mergeCell ref="F1:G1"/>
    <mergeCell ref="C6:D6"/>
    <mergeCell ref="C7:D7"/>
    <mergeCell ref="C8:D8"/>
    <mergeCell ref="A1:E1"/>
    <mergeCell ref="C5:D5"/>
    <mergeCell ref="C4:D4"/>
    <mergeCell ref="C9:D9"/>
    <mergeCell ref="C10:D10"/>
    <mergeCell ref="C11:D11"/>
    <mergeCell ref="C12:D12"/>
    <mergeCell ref="C13:D13"/>
    <mergeCell ref="D2:E3"/>
  </mergeCells>
  <phoneticPr fontId="2"/>
  <dataValidations count="3">
    <dataValidation type="list" allowBlank="1" showInputMessage="1" showErrorMessage="1" sqref="B5:B44" xr:uid="{00000000-0002-0000-0800-000000000000}">
      <formula1>$J$1:$J$6</formula1>
    </dataValidation>
    <dataValidation imeMode="hiragana" allowBlank="1" showInputMessage="1" showErrorMessage="1" sqref="C5:D44" xr:uid="{00000000-0002-0000-0800-000001000000}"/>
    <dataValidation imeMode="off" allowBlank="1" showInputMessage="1" showErrorMessage="1" sqref="A5:A44 E5:F44" xr:uid="{00000000-0002-0000-0800-000002000000}"/>
  </dataValidations>
  <pageMargins left="0.70866141732283472" right="0.14000000000000001" top="0.51181102362204722" bottom="0.35433070866141736" header="0.23622047244094491" footer="0.19685039370078741"/>
  <pageSetup paperSize="9" scale="98" orientation="portrait" horizontalDpi="4294967294" r:id="rId1"/>
  <headerFooter alignWithMargins="0">
    <oddHeader>&amp;R&amp;D</oddHeader>
    <oddFooter>&amp;L&amp;F&amp;R&amp;A</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autoPageBreaks="0"/>
  </sheetPr>
  <dimension ref="A1:I38"/>
  <sheetViews>
    <sheetView showGridLines="0" zoomScale="95" workbookViewId="0">
      <pane ySplit="1" topLeftCell="A2" activePane="bottomLeft" state="frozen"/>
      <selection pane="bottomLeft" activeCell="J27" sqref="J27"/>
    </sheetView>
  </sheetViews>
  <sheetFormatPr defaultColWidth="9" defaultRowHeight="13.5"/>
  <cols>
    <col min="1" max="1" width="5.375" style="546" bestFit="1" customWidth="1"/>
    <col min="2" max="2" width="5.25" style="546" bestFit="1" customWidth="1"/>
    <col min="3" max="5" width="11.625" style="546" customWidth="1"/>
    <col min="6" max="6" width="33.125" style="546" customWidth="1"/>
    <col min="7" max="7" width="1.875" style="546" customWidth="1"/>
    <col min="8" max="8" width="34.875" style="546" bestFit="1" customWidth="1"/>
    <col min="9" max="16384" width="9" style="546"/>
  </cols>
  <sheetData>
    <row r="1" spans="1:9">
      <c r="A1" s="51" t="s">
        <v>469</v>
      </c>
      <c r="B1" s="51" t="s">
        <v>748</v>
      </c>
      <c r="C1" s="51" t="s">
        <v>749</v>
      </c>
      <c r="D1" s="51" t="s">
        <v>750</v>
      </c>
      <c r="E1" s="557" t="s">
        <v>751</v>
      </c>
      <c r="F1" s="51" t="s">
        <v>752</v>
      </c>
      <c r="H1" s="51" t="str">
        <f>A2&amp;"年"&amp;B2&amp;"月～　"&amp;F38&amp;"ヶ月間の集計"</f>
        <v>2018年12月～　11ヶ月間の集計</v>
      </c>
      <c r="I1" s="51" t="s">
        <v>684</v>
      </c>
    </row>
    <row r="2" spans="1:9">
      <c r="A2" s="547">
        <v>2018</v>
      </c>
      <c r="B2" s="547">
        <v>12</v>
      </c>
      <c r="C2" s="548"/>
      <c r="D2" s="548">
        <v>0</v>
      </c>
      <c r="E2" s="556">
        <f>IF(C2-D2&lt;0,-1*(C2-D2),C2-D2)</f>
        <v>0</v>
      </c>
      <c r="F2" s="549"/>
      <c r="H2" s="560" t="str">
        <f>IF(入力シート!EF1="","",入力シート!EF1)</f>
        <v>[超過] 割込業務が発生した</v>
      </c>
      <c r="I2" s="561">
        <f t="shared" ref="I2:I15" si="0">IF(H2="","",COUNTIF($F$2:$F$37,H2))</f>
        <v>0</v>
      </c>
    </row>
    <row r="3" spans="1:9">
      <c r="A3" s="547">
        <v>2018</v>
      </c>
      <c r="B3" s="547">
        <v>8</v>
      </c>
      <c r="C3" s="548"/>
      <c r="D3" s="548">
        <v>7.9583333333333339</v>
      </c>
      <c r="E3" s="556">
        <f>IF(C3-D3&lt;0,-1*(C3-D3),C3-D3)</f>
        <v>7.9583333333333339</v>
      </c>
      <c r="F3" s="549"/>
      <c r="H3" s="560" t="str">
        <f>IF(入力シート!EF2="","",入力シート!EF2)</f>
        <v>[超過] 想定外の業務が発生した</v>
      </c>
      <c r="I3" s="561">
        <f t="shared" si="0"/>
        <v>0</v>
      </c>
    </row>
    <row r="4" spans="1:9">
      <c r="A4" s="547">
        <v>2017</v>
      </c>
      <c r="B4" s="547">
        <v>12</v>
      </c>
      <c r="C4" s="548"/>
      <c r="D4" s="548">
        <v>7.5416666666666661</v>
      </c>
      <c r="E4" s="556">
        <f t="shared" ref="E4:E25" si="1">IF(C4-D4&lt;0,-1*(C4-D4),C4-D4)</f>
        <v>7.5416666666666661</v>
      </c>
      <c r="F4" s="549"/>
      <c r="H4" s="560" t="str">
        <f>IF(入力シート!EF3="","",入力シート!EF3)</f>
        <v>[超過] 工数を過少に見積ってしまった</v>
      </c>
      <c r="I4" s="561">
        <f t="shared" si="0"/>
        <v>0</v>
      </c>
    </row>
    <row r="5" spans="1:9">
      <c r="A5" s="547">
        <v>2018</v>
      </c>
      <c r="B5" s="547">
        <v>8</v>
      </c>
      <c r="C5" s="548"/>
      <c r="D5" s="550">
        <v>6.9999999999999973</v>
      </c>
      <c r="E5" s="556">
        <f t="shared" si="1"/>
        <v>6.9999999999999973</v>
      </c>
      <c r="F5" s="551"/>
      <c r="H5" s="560" t="str">
        <f>IF(入力シート!EF4="","",入力シート!EF4)</f>
        <v>[超過] 納期短縮の指示が出た</v>
      </c>
      <c r="I5" s="561">
        <f t="shared" si="0"/>
        <v>0</v>
      </c>
    </row>
    <row r="6" spans="1:9">
      <c r="A6" s="552">
        <v>2019</v>
      </c>
      <c r="B6" s="552">
        <v>4</v>
      </c>
      <c r="C6" s="550"/>
      <c r="D6" s="548">
        <v>0</v>
      </c>
      <c r="E6" s="556">
        <f t="shared" si="1"/>
        <v>0</v>
      </c>
      <c r="F6" s="549"/>
      <c r="H6" s="560" t="str">
        <f>IF(入力シート!EF5="","",入力シート!EF5)</f>
        <v>[超過] 他業務支援要請を受けた</v>
      </c>
      <c r="I6" s="561">
        <f t="shared" si="0"/>
        <v>0</v>
      </c>
    </row>
    <row r="7" spans="1:9">
      <c r="A7" s="547">
        <v>2019</v>
      </c>
      <c r="B7" s="547">
        <v>4</v>
      </c>
      <c r="C7" s="548"/>
      <c r="D7" s="548">
        <v>1.3333333333333333</v>
      </c>
      <c r="E7" s="556">
        <f t="shared" si="1"/>
        <v>1.3333333333333333</v>
      </c>
      <c r="F7" s="549"/>
      <c r="H7" s="560" t="str">
        <f>IF(入力シート!EF6="","",入力シート!EF6)</f>
        <v>[短縮] 効率化により業務短縮が可能に</v>
      </c>
      <c r="I7" s="561">
        <f t="shared" si="0"/>
        <v>0</v>
      </c>
    </row>
    <row r="8" spans="1:9">
      <c r="A8" s="547">
        <v>2019</v>
      </c>
      <c r="B8" s="547">
        <v>4</v>
      </c>
      <c r="C8" s="548"/>
      <c r="D8" s="548">
        <v>0.3125</v>
      </c>
      <c r="E8" s="556">
        <f t="shared" si="1"/>
        <v>0.3125</v>
      </c>
      <c r="F8" s="549"/>
      <c r="H8" s="560" t="str">
        <f>IF(入力シート!EF7="","",入力シート!EF7)</f>
        <v>[短縮] 工数を過大に見積ってしまった</v>
      </c>
      <c r="I8" s="561">
        <f t="shared" si="0"/>
        <v>0</v>
      </c>
    </row>
    <row r="9" spans="1:9">
      <c r="A9" s="547">
        <v>2020</v>
      </c>
      <c r="B9" s="547">
        <v>3</v>
      </c>
      <c r="C9" s="548"/>
      <c r="D9" s="548">
        <v>0.66666666666666663</v>
      </c>
      <c r="E9" s="556">
        <f t="shared" si="1"/>
        <v>0.66666666666666663</v>
      </c>
      <c r="F9" s="549"/>
      <c r="H9" s="560" t="str">
        <f>IF(入力シート!EF8="","",入力シート!EF8)</f>
        <v>[短縮] 休暇･欠勤による進捗の遅れ</v>
      </c>
      <c r="I9" s="561">
        <f t="shared" si="0"/>
        <v>0</v>
      </c>
    </row>
    <row r="10" spans="1:9">
      <c r="A10" s="547">
        <v>2020</v>
      </c>
      <c r="B10" s="547">
        <v>3</v>
      </c>
      <c r="C10" s="548"/>
      <c r="D10" s="548">
        <v>0</v>
      </c>
      <c r="E10" s="556">
        <f t="shared" si="1"/>
        <v>0</v>
      </c>
      <c r="F10" s="549"/>
      <c r="H10" s="560" t="str">
        <f>IF(入力シート!EF9="","",入力シート!EF9)</f>
        <v>[短縮] 納期が延長された</v>
      </c>
      <c r="I10" s="561">
        <f t="shared" si="0"/>
        <v>0</v>
      </c>
    </row>
    <row r="11" spans="1:9">
      <c r="A11" s="547">
        <v>2021</v>
      </c>
      <c r="B11" s="547">
        <v>1</v>
      </c>
      <c r="C11" s="548"/>
      <c r="D11" s="548">
        <v>4.791666666666667</v>
      </c>
      <c r="E11" s="556">
        <f t="shared" si="1"/>
        <v>4.791666666666667</v>
      </c>
      <c r="F11" s="549"/>
      <c r="H11" s="560" t="str">
        <f>IF(入力シート!EF10="","",入力シート!EF10)</f>
        <v>[短縮] 見込み通りに業務遂行できた</v>
      </c>
      <c r="I11" s="561">
        <f t="shared" si="0"/>
        <v>0</v>
      </c>
    </row>
    <row r="12" spans="1:9">
      <c r="A12" s="547">
        <v>2021</v>
      </c>
      <c r="B12" s="547">
        <v>3</v>
      </c>
      <c r="C12" s="548"/>
      <c r="D12" s="548">
        <v>0</v>
      </c>
      <c r="E12" s="556">
        <f t="shared" si="1"/>
        <v>0</v>
      </c>
      <c r="F12" s="549"/>
      <c r="H12" s="560" t="str">
        <f>IF(入力シート!EF11="","",入力シート!EF11)</f>
        <v>〈任意追加〉</v>
      </c>
      <c r="I12" s="561">
        <f t="shared" si="0"/>
        <v>0</v>
      </c>
    </row>
    <row r="13" spans="1:9">
      <c r="A13" s="547"/>
      <c r="B13" s="547"/>
      <c r="C13" s="548"/>
      <c r="D13" s="548"/>
      <c r="E13" s="556">
        <f t="shared" si="1"/>
        <v>0</v>
      </c>
      <c r="F13" s="549"/>
      <c r="H13" s="560" t="str">
        <f>IF(入力シート!EF12="","",入力シート!EF12)</f>
        <v>〈任意追加〉</v>
      </c>
      <c r="I13" s="561">
        <f t="shared" si="0"/>
        <v>0</v>
      </c>
    </row>
    <row r="14" spans="1:9">
      <c r="A14" s="553"/>
      <c r="B14" s="553"/>
      <c r="C14" s="554"/>
      <c r="D14" s="554"/>
      <c r="E14" s="556">
        <f t="shared" si="1"/>
        <v>0</v>
      </c>
      <c r="F14" s="555"/>
      <c r="H14" s="560" t="str">
        <f>IF(入力シート!EF13="","",入力シート!EF13)</f>
        <v>〈任意追加〉</v>
      </c>
      <c r="I14" s="561">
        <f t="shared" si="0"/>
        <v>0</v>
      </c>
    </row>
    <row r="15" spans="1:9">
      <c r="A15" s="553"/>
      <c r="B15" s="553"/>
      <c r="C15" s="554"/>
      <c r="D15" s="554"/>
      <c r="E15" s="556">
        <f t="shared" si="1"/>
        <v>0</v>
      </c>
      <c r="F15" s="555"/>
      <c r="H15" s="560" t="str">
        <f>IF(入力シート!EF14="","",入力シート!EF14)</f>
        <v>〈任意追加〉</v>
      </c>
      <c r="I15" s="561">
        <f t="shared" si="0"/>
        <v>0</v>
      </c>
    </row>
    <row r="16" spans="1:9">
      <c r="A16" s="553"/>
      <c r="B16" s="553"/>
      <c r="C16" s="554"/>
      <c r="D16" s="554"/>
      <c r="E16" s="556">
        <f t="shared" si="1"/>
        <v>0</v>
      </c>
      <c r="F16" s="555"/>
      <c r="H16" s="559" t="str">
        <f>IF(入力シート!EF15="","",入力シート!EF15)</f>
        <v/>
      </c>
    </row>
    <row r="17" spans="1:9">
      <c r="A17" s="553"/>
      <c r="B17" s="553"/>
      <c r="C17" s="554"/>
      <c r="D17" s="554"/>
      <c r="E17" s="556">
        <f t="shared" si="1"/>
        <v>0</v>
      </c>
      <c r="F17" s="555"/>
    </row>
    <row r="18" spans="1:9">
      <c r="A18" s="553"/>
      <c r="B18" s="553"/>
      <c r="C18" s="554"/>
      <c r="D18" s="554"/>
      <c r="E18" s="556">
        <f t="shared" si="1"/>
        <v>0</v>
      </c>
      <c r="F18" s="555"/>
    </row>
    <row r="19" spans="1:9">
      <c r="A19" s="553"/>
      <c r="B19" s="553"/>
      <c r="C19" s="554"/>
      <c r="D19" s="554"/>
      <c r="E19" s="556">
        <f t="shared" si="1"/>
        <v>0</v>
      </c>
      <c r="F19" s="555"/>
      <c r="H19" s="720" t="str">
        <f>"氏名：　　"&amp;入力シート!C2</f>
        <v>氏名：　　中村 知義</v>
      </c>
      <c r="I19" s="568"/>
    </row>
    <row r="20" spans="1:9">
      <c r="A20" s="553"/>
      <c r="B20" s="553"/>
      <c r="C20" s="554"/>
      <c r="D20" s="554"/>
      <c r="E20" s="556">
        <f t="shared" si="1"/>
        <v>0</v>
      </c>
      <c r="F20" s="555"/>
    </row>
    <row r="21" spans="1:9">
      <c r="A21" s="553"/>
      <c r="B21" s="553"/>
      <c r="C21" s="554"/>
      <c r="D21" s="554"/>
      <c r="E21" s="556">
        <f t="shared" si="1"/>
        <v>0</v>
      </c>
      <c r="F21" s="555"/>
    </row>
    <row r="22" spans="1:9">
      <c r="A22" s="553"/>
      <c r="B22" s="553"/>
      <c r="C22" s="554"/>
      <c r="D22" s="554"/>
      <c r="E22" s="556">
        <f t="shared" si="1"/>
        <v>0</v>
      </c>
      <c r="F22" s="555"/>
    </row>
    <row r="23" spans="1:9">
      <c r="A23" s="553"/>
      <c r="B23" s="553"/>
      <c r="C23" s="554"/>
      <c r="D23" s="554"/>
      <c r="E23" s="556">
        <f t="shared" si="1"/>
        <v>0</v>
      </c>
      <c r="F23" s="555"/>
    </row>
    <row r="24" spans="1:9">
      <c r="A24" s="553"/>
      <c r="B24" s="553"/>
      <c r="C24" s="554"/>
      <c r="D24" s="554"/>
      <c r="E24" s="556">
        <f t="shared" si="1"/>
        <v>0</v>
      </c>
      <c r="F24" s="555"/>
    </row>
    <row r="25" spans="1:9">
      <c r="A25" s="553"/>
      <c r="B25" s="553"/>
      <c r="C25" s="554"/>
      <c r="D25" s="554"/>
      <c r="E25" s="556">
        <f t="shared" si="1"/>
        <v>0</v>
      </c>
      <c r="F25" s="555"/>
    </row>
    <row r="26" spans="1:9">
      <c r="A26" s="553"/>
      <c r="B26" s="553"/>
      <c r="C26" s="554"/>
      <c r="D26" s="554"/>
      <c r="E26" s="556">
        <f t="shared" ref="E26:E37" si="2">IF(C26-D26&lt;0,-1*(C26-D26),C26-D26)</f>
        <v>0</v>
      </c>
      <c r="F26" s="555"/>
    </row>
    <row r="27" spans="1:9">
      <c r="A27" s="553"/>
      <c r="B27" s="553"/>
      <c r="C27" s="554"/>
      <c r="D27" s="554"/>
      <c r="E27" s="556">
        <f t="shared" si="2"/>
        <v>0</v>
      </c>
      <c r="F27" s="555"/>
    </row>
    <row r="28" spans="1:9">
      <c r="A28" s="553"/>
      <c r="B28" s="553"/>
      <c r="C28" s="554"/>
      <c r="D28" s="554"/>
      <c r="E28" s="556">
        <f t="shared" si="2"/>
        <v>0</v>
      </c>
      <c r="F28" s="555"/>
    </row>
    <row r="29" spans="1:9">
      <c r="A29" s="553"/>
      <c r="B29" s="553"/>
      <c r="C29" s="554"/>
      <c r="D29" s="554"/>
      <c r="E29" s="556">
        <f t="shared" si="2"/>
        <v>0</v>
      </c>
      <c r="F29" s="555"/>
    </row>
    <row r="30" spans="1:9">
      <c r="A30" s="553"/>
      <c r="B30" s="553"/>
      <c r="C30" s="554"/>
      <c r="D30" s="554"/>
      <c r="E30" s="556">
        <f t="shared" si="2"/>
        <v>0</v>
      </c>
      <c r="F30" s="555"/>
    </row>
    <row r="31" spans="1:9">
      <c r="A31" s="553"/>
      <c r="B31" s="553"/>
      <c r="C31" s="554"/>
      <c r="D31" s="554"/>
      <c r="E31" s="556">
        <f t="shared" si="2"/>
        <v>0</v>
      </c>
      <c r="F31" s="555"/>
    </row>
    <row r="32" spans="1:9">
      <c r="A32" s="553"/>
      <c r="B32" s="553"/>
      <c r="C32" s="554"/>
      <c r="D32" s="554"/>
      <c r="E32" s="556">
        <f t="shared" si="2"/>
        <v>0</v>
      </c>
      <c r="F32" s="555"/>
    </row>
    <row r="33" spans="1:6">
      <c r="A33" s="553"/>
      <c r="B33" s="553"/>
      <c r="C33" s="554"/>
      <c r="D33" s="554"/>
      <c r="E33" s="556">
        <f t="shared" si="2"/>
        <v>0</v>
      </c>
      <c r="F33" s="555"/>
    </row>
    <row r="34" spans="1:6">
      <c r="A34" s="553"/>
      <c r="B34" s="553"/>
      <c r="C34" s="554"/>
      <c r="D34" s="554"/>
      <c r="E34" s="556">
        <f t="shared" si="2"/>
        <v>0</v>
      </c>
      <c r="F34" s="555"/>
    </row>
    <row r="35" spans="1:6">
      <c r="A35" s="553"/>
      <c r="B35" s="553"/>
      <c r="C35" s="554"/>
      <c r="D35" s="554"/>
      <c r="E35" s="556">
        <f t="shared" si="2"/>
        <v>0</v>
      </c>
      <c r="F35" s="555"/>
    </row>
    <row r="36" spans="1:6">
      <c r="A36" s="553"/>
      <c r="B36" s="553"/>
      <c r="C36" s="554"/>
      <c r="D36" s="554"/>
      <c r="E36" s="556">
        <f t="shared" si="2"/>
        <v>0</v>
      </c>
      <c r="F36" s="555"/>
    </row>
    <row r="37" spans="1:6">
      <c r="A37" s="553"/>
      <c r="B37" s="553"/>
      <c r="C37" s="554"/>
      <c r="D37" s="554"/>
      <c r="E37" s="556">
        <f t="shared" si="2"/>
        <v>0</v>
      </c>
      <c r="F37" s="555"/>
    </row>
    <row r="38" spans="1:6">
      <c r="F38" s="57">
        <f>COUNT(A2:A37)</f>
        <v>11</v>
      </c>
    </row>
  </sheetData>
  <sheetProtection password="E6D7" sheet="1" objects="1" scenarios="1"/>
  <phoneticPr fontId="2"/>
  <pageMargins left="0.46" right="0.14000000000000001" top="1" bottom="1" header="0.51200000000000001" footer="0.51200000000000001"/>
  <pageSetup paperSize="9" scale="80" orientation="portrait" horizontalDpi="4294967293" verticalDpi="0" r:id="rId1"/>
  <headerFooter alignWithMargins="0">
    <oddHeader>&amp;R&amp;D</oddHeader>
    <oddFooter>&amp;L&amp;F&amp;R&amp;A</oddFooter>
  </headerFooter>
</worksheet>
</file>

<file path=docProps/app.xml><?xml version="1.0" encoding="utf-8"?>
<Properties xmlns="http://schemas.openxmlformats.org/officeDocument/2006/extended-properties" xmlns:vt="http://schemas.openxmlformats.org/officeDocument/2006/docPropsVTypes">
  <Application>Microsoft Excel Online</Application>
  <Manager/>
  <Company>日本電算開発株式会社</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鈴木　雅弥</dc:creator>
  <cp:keywords/>
  <dc:description/>
  <cp:lastModifiedBy>あ～る あいか</cp:lastModifiedBy>
  <cp:revision/>
  <dcterms:created xsi:type="dcterms:W3CDTF">2021-08-22T13:36:13Z</dcterms:created>
  <dcterms:modified xsi:type="dcterms:W3CDTF">2021-08-22T13:58:52Z</dcterms:modified>
  <cp:category/>
  <cp:contentStatus/>
</cp:coreProperties>
</file>